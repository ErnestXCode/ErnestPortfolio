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/>
  <workbookPr showObjects="none" codeName="ThisWorkbook"/>
  <mc:AlternateContent xmlns:mc="http://schemas.openxmlformats.org/markup-compatibility/2006">
    <mc:Choice Requires="x15">
      <x15ac:absPath xmlns:x15ac="http://schemas.microsoft.com/office/spreadsheetml/2010/11/ac" url="C:\Users\user\Desktop\PROJECTS\Serious_models\Cleaned Models\PayPal\"/>
    </mc:Choice>
  </mc:AlternateContent>
  <bookViews>
    <workbookView xWindow="0" yWindow="0" windowWidth="17970" windowHeight="6060"/>
  </bookViews>
  <sheets>
    <sheet name="Operating Model" sheetId="1" r:id="rId1"/>
    <sheet name="Quarterly Data" sheetId="24" r:id="rId2"/>
    <sheet name="WACC" sheetId="22" r:id="rId3"/>
    <sheet name="DCF" sheetId="7" r:id="rId4"/>
    <sheet name="PPE Schedule" sheetId="21" r:id="rId5"/>
    <sheet name="Football Field" sheetId="13" state="hidden" r:id="rId6"/>
    <sheet name="Charts" sheetId="14" state="hidden" r:id="rId7"/>
  </sheets>
  <definedNames>
    <definedName name="_xlnm.Print_Area" localSheetId="3">DCF!$B$1:$N$55,DCF!$P$58:$V$65</definedName>
    <definedName name="_xlnm.Print_Area" localSheetId="0">'Operating Model'!$A$1:$Q$69</definedName>
  </definedNames>
  <calcPr calcId="162913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39" i="7" l="1"/>
  <c r="H5" i="24"/>
  <c r="U6" i="24"/>
  <c r="L37" i="1"/>
  <c r="K37" i="1"/>
  <c r="L3" i="1" l="1"/>
  <c r="M3" i="1"/>
  <c r="N3" i="1"/>
  <c r="O3" i="1"/>
  <c r="P3" i="1" s="1"/>
  <c r="Q3" i="1" s="1"/>
  <c r="R3" i="1" s="1"/>
  <c r="S3" i="1" s="1"/>
  <c r="T3" i="1" s="1"/>
  <c r="K3" i="1"/>
  <c r="D43" i="7"/>
  <c r="I17" i="1" l="1"/>
  <c r="D32" i="24"/>
  <c r="E14" i="24"/>
  <c r="F17" i="1"/>
  <c r="D23" i="24"/>
  <c r="D22" i="24"/>
  <c r="D21" i="24"/>
  <c r="D6" i="24"/>
  <c r="D20" i="24"/>
  <c r="E20" i="24"/>
  <c r="E65" i="7"/>
  <c r="E66" i="7" s="1"/>
  <c r="E67" i="7" s="1"/>
  <c r="E68" i="7" s="1"/>
  <c r="E69" i="7" s="1"/>
  <c r="E70" i="7" s="1"/>
  <c r="G63" i="7"/>
  <c r="H63" i="7" s="1"/>
  <c r="I63" i="7" s="1"/>
  <c r="J63" i="7" s="1"/>
  <c r="K63" i="7" s="1"/>
  <c r="L63" i="7" s="1"/>
  <c r="D4" i="22"/>
  <c r="J23" i="22"/>
  <c r="D36" i="22"/>
  <c r="J27" i="22"/>
  <c r="L77" i="1"/>
  <c r="G96" i="1"/>
  <c r="H96" i="1"/>
  <c r="I96" i="1"/>
  <c r="L76" i="1"/>
  <c r="B15" i="7"/>
  <c r="M77" i="1" l="1"/>
  <c r="M76" i="1"/>
  <c r="N76" i="1" s="1"/>
  <c r="O76" i="1" s="1"/>
  <c r="P76" i="1" s="1"/>
  <c r="L56" i="22"/>
  <c r="L58" i="22"/>
  <c r="L73" i="22"/>
  <c r="G45" i="22"/>
  <c r="L45" i="22" s="1"/>
  <c r="G46" i="22"/>
  <c r="L46" i="22" s="1"/>
  <c r="G47" i="22"/>
  <c r="L47" i="22" s="1"/>
  <c r="G48" i="22"/>
  <c r="L48" i="22" s="1"/>
  <c r="G49" i="22"/>
  <c r="L49" i="22" s="1"/>
  <c r="G50" i="22"/>
  <c r="L50" i="22" s="1"/>
  <c r="G51" i="22"/>
  <c r="L51" i="22" s="1"/>
  <c r="G52" i="22"/>
  <c r="L52" i="22" s="1"/>
  <c r="G53" i="22"/>
  <c r="L53" i="22" s="1"/>
  <c r="G54" i="22"/>
  <c r="L54" i="22" s="1"/>
  <c r="G55" i="22"/>
  <c r="L55" i="22" s="1"/>
  <c r="G56" i="22"/>
  <c r="G57" i="22"/>
  <c r="L57" i="22" s="1"/>
  <c r="G58" i="22"/>
  <c r="G59" i="22"/>
  <c r="L59" i="22" s="1"/>
  <c r="G60" i="22"/>
  <c r="L60" i="22" s="1"/>
  <c r="G61" i="22"/>
  <c r="L61" i="22" s="1"/>
  <c r="G62" i="22"/>
  <c r="L62" i="22" s="1"/>
  <c r="G63" i="22"/>
  <c r="L63" i="22" s="1"/>
  <c r="G64" i="22"/>
  <c r="L64" i="22" s="1"/>
  <c r="G65" i="22"/>
  <c r="L65" i="22" s="1"/>
  <c r="G66" i="22"/>
  <c r="L66" i="22" s="1"/>
  <c r="G67" i="22"/>
  <c r="L67" i="22" s="1"/>
  <c r="G68" i="22"/>
  <c r="L68" i="22" s="1"/>
  <c r="G69" i="22"/>
  <c r="L69" i="22" s="1"/>
  <c r="G70" i="22"/>
  <c r="L70" i="22" s="1"/>
  <c r="G71" i="22"/>
  <c r="L71" i="22" s="1"/>
  <c r="G72" i="22"/>
  <c r="L72" i="22" s="1"/>
  <c r="G73" i="22"/>
  <c r="G74" i="22"/>
  <c r="L74" i="22" s="1"/>
  <c r="G75" i="22"/>
  <c r="L75" i="22" s="1"/>
  <c r="G76" i="22"/>
  <c r="L76" i="22" s="1"/>
  <c r="G77" i="22"/>
  <c r="L77" i="22" s="1"/>
  <c r="G78" i="22"/>
  <c r="L78" i="22" s="1"/>
  <c r="G79" i="22"/>
  <c r="L79" i="22" s="1"/>
  <c r="G80" i="22"/>
  <c r="L80" i="22" s="1"/>
  <c r="G81" i="22"/>
  <c r="L81" i="22" s="1"/>
  <c r="G82" i="22"/>
  <c r="L82" i="22" s="1"/>
  <c r="G83" i="22"/>
  <c r="L83" i="22" s="1"/>
  <c r="G84" i="22"/>
  <c r="L84" i="22" s="1"/>
  <c r="G85" i="22"/>
  <c r="L85" i="22" s="1"/>
  <c r="G44" i="22"/>
  <c r="L44" i="22" s="1"/>
  <c r="C109" i="1"/>
  <c r="D109" i="1"/>
  <c r="E109" i="1"/>
  <c r="C110" i="1"/>
  <c r="D110" i="1"/>
  <c r="E110" i="1"/>
  <c r="C106" i="1"/>
  <c r="K106" i="1"/>
  <c r="J127" i="1"/>
  <c r="F95" i="1"/>
  <c r="G84" i="1"/>
  <c r="I84" i="1"/>
  <c r="J84" i="1" s="1"/>
  <c r="M12" i="21"/>
  <c r="N12" i="21"/>
  <c r="O12" i="21"/>
  <c r="P12" i="21"/>
  <c r="Q12" i="21"/>
  <c r="R12" i="21"/>
  <c r="S12" i="21"/>
  <c r="T12" i="21"/>
  <c r="U12" i="21"/>
  <c r="L12" i="21"/>
  <c r="B19" i="21"/>
  <c r="B20" i="21" s="1"/>
  <c r="B21" i="21" s="1"/>
  <c r="B22" i="21" s="1"/>
  <c r="B23" i="21" s="1"/>
  <c r="B24" i="21" s="1"/>
  <c r="B25" i="21" s="1"/>
  <c r="B26" i="21" s="1"/>
  <c r="B27" i="21" s="1"/>
  <c r="B18" i="21"/>
  <c r="H84" i="1"/>
  <c r="F84" i="1"/>
  <c r="D5" i="22"/>
  <c r="D9" i="22"/>
  <c r="D8" i="22"/>
  <c r="D7" i="22"/>
  <c r="K120" i="1"/>
  <c r="K125" i="1"/>
  <c r="D36" i="7" s="1"/>
  <c r="K9" i="21"/>
  <c r="L5" i="21" s="1"/>
  <c r="J139" i="1"/>
  <c r="J138" i="1" s="1"/>
  <c r="J134" i="1"/>
  <c r="K134" i="1" s="1"/>
  <c r="D37" i="7" s="1"/>
  <c r="I29" i="1"/>
  <c r="I13" i="1"/>
  <c r="K12" i="1"/>
  <c r="L12" i="1" s="1"/>
  <c r="L26" i="24"/>
  <c r="P6" i="24"/>
  <c r="P3" i="24"/>
  <c r="N3" i="24"/>
  <c r="F3" i="24"/>
  <c r="F30" i="24"/>
  <c r="F4" i="24"/>
  <c r="E22" i="24"/>
  <c r="I28" i="1"/>
  <c r="I15" i="1"/>
  <c r="K15" i="1" s="1"/>
  <c r="H15" i="1"/>
  <c r="I34" i="1"/>
  <c r="H34" i="1"/>
  <c r="G34" i="1"/>
  <c r="H29" i="1"/>
  <c r="G29" i="1"/>
  <c r="G30" i="1"/>
  <c r="I30" i="1"/>
  <c r="R10" i="1"/>
  <c r="S10" i="1" s="1"/>
  <c r="T10" i="1" s="1"/>
  <c r="T13" i="1"/>
  <c r="K24" i="1"/>
  <c r="L25" i="1"/>
  <c r="M25" i="1" s="1"/>
  <c r="N25" i="1" s="1"/>
  <c r="O25" i="1" s="1"/>
  <c r="P25" i="1" s="1"/>
  <c r="Q25" i="1" s="1"/>
  <c r="R25" i="1" s="1"/>
  <c r="S25" i="1" s="1"/>
  <c r="T25" i="1" s="1"/>
  <c r="H25" i="1"/>
  <c r="I25" i="1"/>
  <c r="G25" i="1"/>
  <c r="I31" i="1"/>
  <c r="I32" i="1"/>
  <c r="G17" i="1"/>
  <c r="H17" i="1"/>
  <c r="K17" i="1"/>
  <c r="I9" i="1"/>
  <c r="K9" i="1" s="1"/>
  <c r="L9" i="1" s="1"/>
  <c r="F9" i="1"/>
  <c r="H13" i="1"/>
  <c r="G13" i="1"/>
  <c r="D40" i="24"/>
  <c r="F39" i="24"/>
  <c r="E39" i="24"/>
  <c r="D39" i="24"/>
  <c r="U31" i="24"/>
  <c r="T31" i="24"/>
  <c r="S31" i="24"/>
  <c r="R31" i="24"/>
  <c r="Q31" i="24"/>
  <c r="P31" i="24"/>
  <c r="O31" i="24"/>
  <c r="N31" i="24"/>
  <c r="F31" i="24"/>
  <c r="G31" i="24"/>
  <c r="H31" i="24"/>
  <c r="I31" i="24"/>
  <c r="E31" i="24"/>
  <c r="F38" i="24"/>
  <c r="E38" i="24"/>
  <c r="F37" i="24"/>
  <c r="E37" i="24"/>
  <c r="F36" i="24"/>
  <c r="E36" i="24"/>
  <c r="U30" i="24"/>
  <c r="T30" i="24"/>
  <c r="S30" i="24"/>
  <c r="R30" i="24"/>
  <c r="Q30" i="24"/>
  <c r="P30" i="24"/>
  <c r="O30" i="24"/>
  <c r="N30" i="24"/>
  <c r="I30" i="24"/>
  <c r="H30" i="24"/>
  <c r="G30" i="24"/>
  <c r="U4" i="24"/>
  <c r="T4" i="24"/>
  <c r="S4" i="24"/>
  <c r="R4" i="24"/>
  <c r="Q4" i="24"/>
  <c r="P4" i="24"/>
  <c r="O4" i="24"/>
  <c r="N4" i="24"/>
  <c r="N5" i="24" s="1"/>
  <c r="I4" i="24"/>
  <c r="H4" i="24"/>
  <c r="G4" i="24"/>
  <c r="U29" i="24"/>
  <c r="T29" i="24"/>
  <c r="S29" i="24"/>
  <c r="R29" i="24"/>
  <c r="Q29" i="24"/>
  <c r="P29" i="24"/>
  <c r="O29" i="24"/>
  <c r="N29" i="24"/>
  <c r="I29" i="24"/>
  <c r="H29" i="24"/>
  <c r="G29" i="24"/>
  <c r="F29" i="24"/>
  <c r="U3" i="24"/>
  <c r="T3" i="24"/>
  <c r="S3" i="24"/>
  <c r="R3" i="24"/>
  <c r="Q3" i="24"/>
  <c r="O3" i="24"/>
  <c r="I3" i="24"/>
  <c r="H3" i="24"/>
  <c r="G3" i="24"/>
  <c r="D36" i="24"/>
  <c r="O28" i="24"/>
  <c r="P28" i="24"/>
  <c r="Q28" i="24"/>
  <c r="R28" i="24"/>
  <c r="S28" i="24"/>
  <c r="T28" i="24"/>
  <c r="U28" i="24"/>
  <c r="N28" i="24"/>
  <c r="G28" i="24"/>
  <c r="H28" i="24"/>
  <c r="I28" i="24"/>
  <c r="F28" i="24"/>
  <c r="D3" i="24"/>
  <c r="D29" i="24"/>
  <c r="D4" i="24"/>
  <c r="D30" i="24"/>
  <c r="D31" i="24"/>
  <c r="D28" i="24"/>
  <c r="E26" i="24"/>
  <c r="E23" i="24"/>
  <c r="E21" i="24"/>
  <c r="E6" i="24"/>
  <c r="E25" i="24"/>
  <c r="F14" i="24"/>
  <c r="F25" i="24" s="1"/>
  <c r="G14" i="24"/>
  <c r="G25" i="24" s="1"/>
  <c r="H14" i="24"/>
  <c r="H25" i="24" s="1"/>
  <c r="I14" i="24"/>
  <c r="I25" i="24" s="1"/>
  <c r="M14" i="24"/>
  <c r="M25" i="24" s="1"/>
  <c r="N14" i="24"/>
  <c r="N25" i="24" s="1"/>
  <c r="O14" i="24"/>
  <c r="O25" i="24" s="1"/>
  <c r="P14" i="24"/>
  <c r="Q14" i="24"/>
  <c r="Q25" i="24" s="1"/>
  <c r="R14" i="24"/>
  <c r="R25" i="24" s="1"/>
  <c r="S14" i="24"/>
  <c r="S25" i="24" s="1"/>
  <c r="T14" i="24"/>
  <c r="T25" i="24" s="1"/>
  <c r="U14" i="24"/>
  <c r="U25" i="24" s="1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U20" i="24"/>
  <c r="F6" i="24"/>
  <c r="G6" i="24"/>
  <c r="H6" i="24"/>
  <c r="I6" i="24"/>
  <c r="J6" i="24"/>
  <c r="K6" i="24"/>
  <c r="L6" i="24"/>
  <c r="M6" i="24"/>
  <c r="N6" i="24"/>
  <c r="O6" i="24"/>
  <c r="Q6" i="24"/>
  <c r="R6" i="24"/>
  <c r="S6" i="24"/>
  <c r="T6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U21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U22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U23" i="24"/>
  <c r="J25" i="24"/>
  <c r="K25" i="24"/>
  <c r="L25" i="24"/>
  <c r="P25" i="24"/>
  <c r="F26" i="24"/>
  <c r="G26" i="24"/>
  <c r="H26" i="24"/>
  <c r="I26" i="24"/>
  <c r="J26" i="24"/>
  <c r="K26" i="24"/>
  <c r="M26" i="24"/>
  <c r="N26" i="24"/>
  <c r="O26" i="24"/>
  <c r="P26" i="24"/>
  <c r="Q26" i="24"/>
  <c r="R26" i="24"/>
  <c r="S26" i="24"/>
  <c r="T26" i="24"/>
  <c r="U26" i="24"/>
  <c r="P5" i="24" l="1"/>
  <c r="Q5" i="24"/>
  <c r="R5" i="24"/>
  <c r="L15" i="1"/>
  <c r="M15" i="1" s="1"/>
  <c r="N15" i="1" s="1"/>
  <c r="O15" i="1" s="1"/>
  <c r="P15" i="1" s="1"/>
  <c r="Q15" i="1" s="1"/>
  <c r="R15" i="1" s="1"/>
  <c r="S15" i="1" s="1"/>
  <c r="T15" i="1" s="1"/>
  <c r="L17" i="1"/>
  <c r="L21" i="1" s="1"/>
  <c r="L19" i="1"/>
  <c r="D26" i="22"/>
  <c r="D30" i="22" s="1"/>
  <c r="O5" i="24"/>
  <c r="S5" i="24"/>
  <c r="I5" i="24"/>
  <c r="T5" i="24"/>
  <c r="F5" i="24"/>
  <c r="K19" i="1"/>
  <c r="K20" i="1" s="1"/>
  <c r="L120" i="1"/>
  <c r="E35" i="7" s="1"/>
  <c r="D35" i="7"/>
  <c r="N77" i="1"/>
  <c r="G5" i="24"/>
  <c r="U5" i="24"/>
  <c r="F98" i="1"/>
  <c r="F99" i="1" s="1"/>
  <c r="L14" i="21"/>
  <c r="M14" i="21" s="1"/>
  <c r="N14" i="21" s="1"/>
  <c r="K139" i="1"/>
  <c r="D10" i="22"/>
  <c r="D14" i="22" s="1"/>
  <c r="J135" i="1"/>
  <c r="K34" i="1"/>
  <c r="M9" i="1"/>
  <c r="N9" i="1" s="1"/>
  <c r="O9" i="1" s="1"/>
  <c r="P9" i="1" s="1"/>
  <c r="Q9" i="1" s="1"/>
  <c r="R9" i="1" s="1"/>
  <c r="S9" i="1" s="1"/>
  <c r="T9" i="1" s="1"/>
  <c r="G36" i="24"/>
  <c r="G39" i="24"/>
  <c r="G37" i="24"/>
  <c r="E40" i="24"/>
  <c r="G38" i="24"/>
  <c r="H32" i="24"/>
  <c r="P32" i="24"/>
  <c r="F40" i="24"/>
  <c r="G40" i="24" s="1"/>
  <c r="T32" i="24"/>
  <c r="L24" i="1"/>
  <c r="M24" i="1" s="1"/>
  <c r="N24" i="1" s="1"/>
  <c r="O24" i="1" s="1"/>
  <c r="P24" i="1" s="1"/>
  <c r="Q24" i="1" s="1"/>
  <c r="R24" i="1" s="1"/>
  <c r="S24" i="1" s="1"/>
  <c r="T24" i="1" s="1"/>
  <c r="K21" i="1"/>
  <c r="M12" i="1"/>
  <c r="K32" i="1"/>
  <c r="K33" i="1" s="1"/>
  <c r="I32" i="24"/>
  <c r="Q32" i="24"/>
  <c r="U32" i="24"/>
  <c r="F32" i="24"/>
  <c r="N32" i="24"/>
  <c r="R32" i="24"/>
  <c r="G32" i="24"/>
  <c r="O32" i="24"/>
  <c r="S32" i="24"/>
  <c r="G9" i="1"/>
  <c r="F32" i="1"/>
  <c r="F30" i="1"/>
  <c r="F28" i="1"/>
  <c r="F15" i="1"/>
  <c r="F31" i="1"/>
  <c r="G15" i="1"/>
  <c r="H9" i="1"/>
  <c r="I10" i="1" s="1"/>
  <c r="F22" i="1"/>
  <c r="H30" i="1"/>
  <c r="G28" i="1"/>
  <c r="H28" i="1"/>
  <c r="G32" i="1"/>
  <c r="H32" i="1"/>
  <c r="I33" i="1" s="1"/>
  <c r="G31" i="1"/>
  <c r="H31" i="1"/>
  <c r="I22" i="1"/>
  <c r="I55" i="1" s="1"/>
  <c r="G22" i="1"/>
  <c r="G55" i="1" s="1"/>
  <c r="H22" i="1"/>
  <c r="H55" i="1" s="1"/>
  <c r="D57" i="7"/>
  <c r="D56" i="7"/>
  <c r="I150" i="1"/>
  <c r="L150" i="1"/>
  <c r="M150" i="1" s="1"/>
  <c r="L149" i="1"/>
  <c r="L134" i="1"/>
  <c r="L125" i="1"/>
  <c r="D52" i="7"/>
  <c r="D51" i="7"/>
  <c r="C10" i="22"/>
  <c r="B53" i="7" s="1"/>
  <c r="B37" i="7" s="1"/>
  <c r="C9" i="22"/>
  <c r="B52" i="7" s="1"/>
  <c r="B36" i="7" s="1"/>
  <c r="C8" i="22"/>
  <c r="B51" i="7" s="1"/>
  <c r="B35" i="7" s="1"/>
  <c r="C7" i="22"/>
  <c r="B50" i="7" s="1"/>
  <c r="B34" i="7" s="1"/>
  <c r="D9" i="7"/>
  <c r="M17" i="1" l="1"/>
  <c r="N17" i="1" s="1"/>
  <c r="O17" i="1" s="1"/>
  <c r="P17" i="1" s="1"/>
  <c r="Q17" i="1" s="1"/>
  <c r="R17" i="1" s="1"/>
  <c r="S17" i="1" s="1"/>
  <c r="T17" i="1" s="1"/>
  <c r="L29" i="1"/>
  <c r="L20" i="1"/>
  <c r="M120" i="1"/>
  <c r="F35" i="7" s="1"/>
  <c r="M125" i="1"/>
  <c r="E36" i="7"/>
  <c r="H75" i="1"/>
  <c r="H152" i="1"/>
  <c r="H151" i="1"/>
  <c r="H76" i="1"/>
  <c r="H77" i="1"/>
  <c r="N120" i="1"/>
  <c r="G75" i="1"/>
  <c r="G152" i="1"/>
  <c r="G151" i="1"/>
  <c r="G76" i="1"/>
  <c r="G77" i="1"/>
  <c r="M134" i="1"/>
  <c r="E37" i="7"/>
  <c r="I75" i="1"/>
  <c r="K75" i="1" s="1"/>
  <c r="K84" i="1" s="1"/>
  <c r="I152" i="1"/>
  <c r="K152" i="1" s="1"/>
  <c r="I151" i="1"/>
  <c r="K151" i="1" s="1"/>
  <c r="I76" i="1"/>
  <c r="I38" i="1"/>
  <c r="K38" i="1" s="1"/>
  <c r="I39" i="1"/>
  <c r="K39" i="1" s="1"/>
  <c r="I77" i="1"/>
  <c r="O77" i="1"/>
  <c r="K127" i="1"/>
  <c r="J129" i="1"/>
  <c r="O14" i="21"/>
  <c r="I149" i="1"/>
  <c r="J136" i="1"/>
  <c r="J142" i="1" s="1"/>
  <c r="M149" i="1"/>
  <c r="N149" i="1" s="1"/>
  <c r="O149" i="1" s="1"/>
  <c r="P149" i="1" s="1"/>
  <c r="Q149" i="1" s="1"/>
  <c r="R149" i="1" s="1"/>
  <c r="S149" i="1" s="1"/>
  <c r="T149" i="1" s="1"/>
  <c r="K29" i="1"/>
  <c r="M32" i="1"/>
  <c r="M21" i="1"/>
  <c r="L32" i="1"/>
  <c r="L33" i="1" s="1"/>
  <c r="K31" i="1"/>
  <c r="N12" i="1"/>
  <c r="N19" i="1" s="1"/>
  <c r="K28" i="1"/>
  <c r="K30" i="1"/>
  <c r="K22" i="1"/>
  <c r="K55" i="1" s="1"/>
  <c r="M19" i="1"/>
  <c r="H10" i="1"/>
  <c r="G33" i="1"/>
  <c r="G10" i="1"/>
  <c r="H33" i="1"/>
  <c r="D53" i="7"/>
  <c r="N150" i="1"/>
  <c r="E5" i="7"/>
  <c r="F5" i="7" s="1"/>
  <c r="G5" i="7" s="1"/>
  <c r="H5" i="7" s="1"/>
  <c r="I5" i="7" s="1"/>
  <c r="J5" i="7" s="1"/>
  <c r="K5" i="7" s="1"/>
  <c r="L5" i="7" s="1"/>
  <c r="M5" i="7" s="1"/>
  <c r="E4" i="7"/>
  <c r="F4" i="7" s="1"/>
  <c r="G4" i="7" s="1"/>
  <c r="H4" i="7" s="1"/>
  <c r="I4" i="7" s="1"/>
  <c r="J4" i="7" s="1"/>
  <c r="K4" i="7" s="1"/>
  <c r="L4" i="7" s="1"/>
  <c r="M4" i="7" s="1"/>
  <c r="D38" i="22"/>
  <c r="D23" i="22"/>
  <c r="D18" i="22"/>
  <c r="D37" i="22" s="1"/>
  <c r="D6" i="22"/>
  <c r="D12" i="22" s="1"/>
  <c r="O120" i="1" l="1"/>
  <c r="G35" i="7"/>
  <c r="K124" i="1"/>
  <c r="L151" i="1"/>
  <c r="N134" i="1"/>
  <c r="F37" i="7"/>
  <c r="K133" i="1"/>
  <c r="L152" i="1"/>
  <c r="K96" i="1"/>
  <c r="K88" i="1"/>
  <c r="K135" i="1" s="1"/>
  <c r="K95" i="1"/>
  <c r="K58" i="1"/>
  <c r="K56" i="1"/>
  <c r="K132" i="1" s="1"/>
  <c r="K90" i="1" s="1"/>
  <c r="K57" i="1"/>
  <c r="K122" i="1"/>
  <c r="D15" i="7"/>
  <c r="N125" i="1"/>
  <c r="F36" i="7"/>
  <c r="P77" i="1"/>
  <c r="J143" i="1"/>
  <c r="P14" i="21"/>
  <c r="K121" i="1"/>
  <c r="K87" i="1" s="1"/>
  <c r="L75" i="1"/>
  <c r="M75" i="1" s="1"/>
  <c r="N75" i="1" s="1"/>
  <c r="O75" i="1" s="1"/>
  <c r="P75" i="1" s="1"/>
  <c r="Q75" i="1" s="1"/>
  <c r="R75" i="1" s="1"/>
  <c r="S75" i="1" s="1"/>
  <c r="T75" i="1" s="1"/>
  <c r="M33" i="1"/>
  <c r="N29" i="1"/>
  <c r="M20" i="1"/>
  <c r="M29" i="1"/>
  <c r="O12" i="1"/>
  <c r="N32" i="1"/>
  <c r="N33" i="1" s="1"/>
  <c r="N21" i="1"/>
  <c r="M31" i="1"/>
  <c r="L28" i="1"/>
  <c r="L31" i="1"/>
  <c r="N31" i="1"/>
  <c r="N20" i="1"/>
  <c r="O150" i="1"/>
  <c r="D25" i="22"/>
  <c r="M151" i="1" l="1"/>
  <c r="K89" i="1"/>
  <c r="K86" i="1" s="1"/>
  <c r="M152" i="1"/>
  <c r="O125" i="1"/>
  <c r="G36" i="7"/>
  <c r="K123" i="1"/>
  <c r="D16" i="7"/>
  <c r="O134" i="1"/>
  <c r="G37" i="7"/>
  <c r="P120" i="1"/>
  <c r="H35" i="7"/>
  <c r="Q77" i="1"/>
  <c r="Q76" i="1"/>
  <c r="Q14" i="21"/>
  <c r="L84" i="1"/>
  <c r="E15" i="7" s="1"/>
  <c r="N30" i="1"/>
  <c r="N34" i="1"/>
  <c r="M30" i="1"/>
  <c r="M34" i="1"/>
  <c r="L22" i="1"/>
  <c r="L55" i="1" s="1"/>
  <c r="L34" i="1"/>
  <c r="M22" i="1"/>
  <c r="M55" i="1" s="1"/>
  <c r="M28" i="1"/>
  <c r="P12" i="1"/>
  <c r="P19" i="1" s="1"/>
  <c r="O21" i="1"/>
  <c r="O32" i="1"/>
  <c r="O33" i="1" s="1"/>
  <c r="O19" i="1"/>
  <c r="O29" i="1" s="1"/>
  <c r="L30" i="1"/>
  <c r="N28" i="1"/>
  <c r="N22" i="1"/>
  <c r="N55" i="1" s="1"/>
  <c r="D32" i="22"/>
  <c r="D34" i="22" s="1"/>
  <c r="P150" i="1"/>
  <c r="I139" i="1"/>
  <c r="I135" i="1"/>
  <c r="H9" i="21"/>
  <c r="I9" i="21"/>
  <c r="J9" i="21"/>
  <c r="G9" i="21"/>
  <c r="H5" i="21" s="1"/>
  <c r="I98" i="1"/>
  <c r="F89" i="1"/>
  <c r="G89" i="1"/>
  <c r="P134" i="1" l="1"/>
  <c r="H37" i="7"/>
  <c r="P125" i="1"/>
  <c r="H36" i="7"/>
  <c r="L88" i="1"/>
  <c r="L135" i="1" s="1"/>
  <c r="L96" i="1"/>
  <c r="E16" i="7" s="1"/>
  <c r="L133" i="1"/>
  <c r="Q120" i="1"/>
  <c r="I35" i="7"/>
  <c r="L123" i="1"/>
  <c r="N152" i="1"/>
  <c r="M133" i="1"/>
  <c r="L124" i="1"/>
  <c r="N88" i="1"/>
  <c r="N96" i="1"/>
  <c r="G16" i="7" s="1"/>
  <c r="M88" i="1"/>
  <c r="M96" i="1"/>
  <c r="F16" i="7" s="1"/>
  <c r="N151" i="1"/>
  <c r="M124" i="1"/>
  <c r="R77" i="1"/>
  <c r="D40" i="22"/>
  <c r="R76" i="1"/>
  <c r="R14" i="21"/>
  <c r="S14" i="21" s="1"/>
  <c r="M84" i="1"/>
  <c r="L122" i="1"/>
  <c r="L121" i="1"/>
  <c r="M37" i="1"/>
  <c r="N37" i="1"/>
  <c r="P29" i="1"/>
  <c r="O31" i="1"/>
  <c r="O20" i="1"/>
  <c r="O28" i="1" s="1"/>
  <c r="Q12" i="1"/>
  <c r="Q19" i="1" s="1"/>
  <c r="Q29" i="1" s="1"/>
  <c r="P21" i="1"/>
  <c r="P32" i="1"/>
  <c r="P33" i="1" s="1"/>
  <c r="P20" i="1"/>
  <c r="P31" i="1"/>
  <c r="Q150" i="1"/>
  <c r="I136" i="1"/>
  <c r="I138" i="1"/>
  <c r="L139" i="1"/>
  <c r="M139" i="1" s="1"/>
  <c r="N139" i="1" s="1"/>
  <c r="O139" i="1" s="1"/>
  <c r="P139" i="1" s="1"/>
  <c r="Q139" i="1" s="1"/>
  <c r="R139" i="1" s="1"/>
  <c r="S139" i="1" s="1"/>
  <c r="T139" i="1" s="1"/>
  <c r="L51" i="1"/>
  <c r="L49" i="1"/>
  <c r="M49" i="1" s="1"/>
  <c r="N49" i="1" s="1"/>
  <c r="O49" i="1" s="1"/>
  <c r="P49" i="1" s="1"/>
  <c r="Q49" i="1" s="1"/>
  <c r="R49" i="1" s="1"/>
  <c r="S49" i="1" s="1"/>
  <c r="T49" i="1" s="1"/>
  <c r="L47" i="1"/>
  <c r="M47" i="1" s="1"/>
  <c r="N47" i="1" s="1"/>
  <c r="O47" i="1" s="1"/>
  <c r="P47" i="1" s="1"/>
  <c r="Q47" i="1" s="1"/>
  <c r="R47" i="1" s="1"/>
  <c r="S47" i="1" s="1"/>
  <c r="T47" i="1" s="1"/>
  <c r="L46" i="1"/>
  <c r="M46" i="1" s="1"/>
  <c r="N46" i="1" s="1"/>
  <c r="O46" i="1" s="1"/>
  <c r="P46" i="1" s="1"/>
  <c r="Q46" i="1" s="1"/>
  <c r="R46" i="1" s="1"/>
  <c r="S46" i="1" s="1"/>
  <c r="T46" i="1" s="1"/>
  <c r="L38" i="1"/>
  <c r="L56" i="1" s="1"/>
  <c r="L39" i="1"/>
  <c r="L57" i="1" s="1"/>
  <c r="L40" i="1"/>
  <c r="L41" i="1"/>
  <c r="M41" i="1" s="1"/>
  <c r="N41" i="1" s="1"/>
  <c r="O41" i="1" s="1"/>
  <c r="P41" i="1" s="1"/>
  <c r="Q41" i="1" s="1"/>
  <c r="R41" i="1" s="1"/>
  <c r="S41" i="1" s="1"/>
  <c r="T41" i="1" s="1"/>
  <c r="L42" i="1"/>
  <c r="M42" i="1" s="1"/>
  <c r="N42" i="1" s="1"/>
  <c r="O42" i="1" s="1"/>
  <c r="P42" i="1" s="1"/>
  <c r="Q42" i="1" s="1"/>
  <c r="R42" i="1" s="1"/>
  <c r="S42" i="1" s="1"/>
  <c r="T42" i="1" s="1"/>
  <c r="L43" i="1"/>
  <c r="M43" i="1" s="1"/>
  <c r="N43" i="1" s="1"/>
  <c r="O43" i="1" s="1"/>
  <c r="P43" i="1" s="1"/>
  <c r="Q43" i="1" s="1"/>
  <c r="R43" i="1" s="1"/>
  <c r="S43" i="1" s="1"/>
  <c r="T43" i="1" s="1"/>
  <c r="L44" i="1"/>
  <c r="M44" i="1" s="1"/>
  <c r="N44" i="1" s="1"/>
  <c r="O44" i="1" s="1"/>
  <c r="P44" i="1" s="1"/>
  <c r="Q44" i="1" s="1"/>
  <c r="R44" i="1" s="1"/>
  <c r="S44" i="1" s="1"/>
  <c r="T44" i="1" s="1"/>
  <c r="H95" i="1"/>
  <c r="H98" i="1" s="1"/>
  <c r="H89" i="1"/>
  <c r="I89" i="1"/>
  <c r="I86" i="1" s="1"/>
  <c r="I64" i="1"/>
  <c r="C81" i="1"/>
  <c r="D81" i="1"/>
  <c r="E81" i="1"/>
  <c r="C104" i="1"/>
  <c r="B48" i="1"/>
  <c r="B52" i="1"/>
  <c r="B50" i="1"/>
  <c r="B49" i="1"/>
  <c r="B46" i="1"/>
  <c r="B45" i="1"/>
  <c r="B37" i="1"/>
  <c r="M19" i="7" l="1"/>
  <c r="M135" i="1"/>
  <c r="N135" i="1" s="1"/>
  <c r="O152" i="1"/>
  <c r="N133" i="1"/>
  <c r="M123" i="1"/>
  <c r="N123" i="1" s="1"/>
  <c r="Q125" i="1"/>
  <c r="I36" i="7"/>
  <c r="M89" i="1"/>
  <c r="L89" i="1"/>
  <c r="O151" i="1"/>
  <c r="N124" i="1"/>
  <c r="R120" i="1"/>
  <c r="J35" i="7"/>
  <c r="Q134" i="1"/>
  <c r="I37" i="7"/>
  <c r="S77" i="1"/>
  <c r="S76" i="1"/>
  <c r="M40" i="1"/>
  <c r="N40" i="1" s="1"/>
  <c r="O40" i="1" s="1"/>
  <c r="P40" i="1" s="1"/>
  <c r="Q40" i="1" s="1"/>
  <c r="R40" i="1" s="1"/>
  <c r="S40" i="1" s="1"/>
  <c r="T40" i="1" s="1"/>
  <c r="L58" i="1"/>
  <c r="T14" i="21"/>
  <c r="M122" i="1"/>
  <c r="N84" i="1"/>
  <c r="F15" i="7"/>
  <c r="O30" i="1"/>
  <c r="O34" i="1"/>
  <c r="P30" i="1"/>
  <c r="P34" i="1"/>
  <c r="O22" i="1"/>
  <c r="O55" i="1" s="1"/>
  <c r="R12" i="1"/>
  <c r="R19" i="1" s="1"/>
  <c r="R29" i="1" s="1"/>
  <c r="Q21" i="1"/>
  <c r="Q32" i="1"/>
  <c r="Q33" i="1" s="1"/>
  <c r="P28" i="1"/>
  <c r="P22" i="1"/>
  <c r="P55" i="1" s="1"/>
  <c r="Q20" i="1"/>
  <c r="Q31" i="1"/>
  <c r="M39" i="1"/>
  <c r="M57" i="1" s="1"/>
  <c r="M38" i="1"/>
  <c r="M56" i="1" s="1"/>
  <c r="I142" i="1"/>
  <c r="R150" i="1"/>
  <c r="M51" i="1"/>
  <c r="E9" i="7"/>
  <c r="H99" i="1"/>
  <c r="C148" i="1"/>
  <c r="C121" i="1"/>
  <c r="D121" i="1"/>
  <c r="E121" i="1"/>
  <c r="F121" i="1"/>
  <c r="G121" i="1"/>
  <c r="H121" i="1"/>
  <c r="C127" i="1"/>
  <c r="D127" i="1"/>
  <c r="E127" i="1"/>
  <c r="C139" i="1"/>
  <c r="D139" i="1"/>
  <c r="E139" i="1"/>
  <c r="F139" i="1"/>
  <c r="G139" i="1"/>
  <c r="H139" i="1"/>
  <c r="C140" i="1"/>
  <c r="D140" i="1"/>
  <c r="E140" i="1"/>
  <c r="F140" i="1"/>
  <c r="G140" i="1"/>
  <c r="H140" i="1"/>
  <c r="C132" i="1"/>
  <c r="D132" i="1"/>
  <c r="E132" i="1"/>
  <c r="F132" i="1"/>
  <c r="G132" i="1"/>
  <c r="G135" i="1" s="1"/>
  <c r="H132" i="1"/>
  <c r="C87" i="1"/>
  <c r="D87" i="1"/>
  <c r="E87" i="1"/>
  <c r="F87" i="1"/>
  <c r="G87" i="1"/>
  <c r="H87" i="1"/>
  <c r="C90" i="1"/>
  <c r="D90" i="1"/>
  <c r="E90" i="1"/>
  <c r="F90" i="1"/>
  <c r="G90" i="1"/>
  <c r="H90" i="1"/>
  <c r="C92" i="1"/>
  <c r="D92" i="1"/>
  <c r="E92" i="1"/>
  <c r="C101" i="1"/>
  <c r="D101" i="1"/>
  <c r="E101" i="1"/>
  <c r="F101" i="1"/>
  <c r="G101" i="1"/>
  <c r="H101" i="1"/>
  <c r="C98" i="1"/>
  <c r="D98" i="1"/>
  <c r="E98" i="1"/>
  <c r="J19" i="7" l="1"/>
  <c r="N89" i="1"/>
  <c r="O37" i="1"/>
  <c r="O88" i="1"/>
  <c r="O135" i="1" s="1"/>
  <c r="O96" i="1"/>
  <c r="H16" i="7" s="1"/>
  <c r="D19" i="7"/>
  <c r="G19" i="7"/>
  <c r="F19" i="7"/>
  <c r="K19" i="7"/>
  <c r="I19" i="7"/>
  <c r="R134" i="1"/>
  <c r="J37" i="7"/>
  <c r="P151" i="1"/>
  <c r="O124" i="1"/>
  <c r="H19" i="7"/>
  <c r="L19" i="7"/>
  <c r="R125" i="1"/>
  <c r="J36" i="7"/>
  <c r="F135" i="1"/>
  <c r="F136" i="1" s="1"/>
  <c r="P96" i="1"/>
  <c r="I16" i="7" s="1"/>
  <c r="P88" i="1"/>
  <c r="E19" i="7"/>
  <c r="S120" i="1"/>
  <c r="K35" i="7"/>
  <c r="P152" i="1"/>
  <c r="O133" i="1"/>
  <c r="T77" i="1"/>
  <c r="T76" i="1"/>
  <c r="G86" i="1"/>
  <c r="U14" i="21"/>
  <c r="O84" i="1"/>
  <c r="G15" i="7"/>
  <c r="N122" i="1"/>
  <c r="Q30" i="1"/>
  <c r="Q34" i="1"/>
  <c r="P37" i="1"/>
  <c r="S12" i="1"/>
  <c r="S19" i="1" s="1"/>
  <c r="S29" i="1" s="1"/>
  <c r="R21" i="1"/>
  <c r="R32" i="1"/>
  <c r="R33" i="1" s="1"/>
  <c r="R31" i="1"/>
  <c r="R20" i="1"/>
  <c r="Q28" i="1"/>
  <c r="Q22" i="1"/>
  <c r="Q55" i="1" s="1"/>
  <c r="N39" i="1"/>
  <c r="N57" i="1" s="1"/>
  <c r="N38" i="1"/>
  <c r="N56" i="1" s="1"/>
  <c r="S150" i="1"/>
  <c r="G136" i="1"/>
  <c r="H135" i="1"/>
  <c r="H136" i="1" s="1"/>
  <c r="F138" i="1"/>
  <c r="N51" i="1"/>
  <c r="F9" i="7"/>
  <c r="H86" i="1"/>
  <c r="E138" i="1"/>
  <c r="H138" i="1"/>
  <c r="D138" i="1"/>
  <c r="E86" i="1"/>
  <c r="D86" i="1"/>
  <c r="G138" i="1"/>
  <c r="C138" i="1"/>
  <c r="C86" i="1"/>
  <c r="F86" i="1"/>
  <c r="O123" i="1" l="1"/>
  <c r="P123" i="1" s="1"/>
  <c r="P135" i="1"/>
  <c r="O89" i="1"/>
  <c r="S134" i="1"/>
  <c r="K37" i="7"/>
  <c r="Q37" i="1"/>
  <c r="Q88" i="1"/>
  <c r="Q96" i="1"/>
  <c r="J16" i="7" s="1"/>
  <c r="T120" i="1"/>
  <c r="M35" i="7" s="1"/>
  <c r="L35" i="7"/>
  <c r="Q152" i="1"/>
  <c r="P133" i="1"/>
  <c r="S125" i="1"/>
  <c r="K36" i="7"/>
  <c r="Q151" i="1"/>
  <c r="P124" i="1"/>
  <c r="P89" i="1" s="1"/>
  <c r="O122" i="1"/>
  <c r="P84" i="1"/>
  <c r="H15" i="7"/>
  <c r="R30" i="1"/>
  <c r="R34" i="1"/>
  <c r="T12" i="1"/>
  <c r="S21" i="1"/>
  <c r="S32" i="1"/>
  <c r="S33" i="1" s="1"/>
  <c r="R28" i="1"/>
  <c r="R22" i="1"/>
  <c r="R55" i="1" s="1"/>
  <c r="S20" i="1"/>
  <c r="S31" i="1"/>
  <c r="O39" i="1"/>
  <c r="O57" i="1" s="1"/>
  <c r="O38" i="1"/>
  <c r="O56" i="1" s="1"/>
  <c r="F142" i="1"/>
  <c r="T150" i="1"/>
  <c r="G142" i="1"/>
  <c r="H142" i="1"/>
  <c r="O51" i="1"/>
  <c r="G9" i="7"/>
  <c r="C142" i="1"/>
  <c r="D142" i="1"/>
  <c r="E142" i="1"/>
  <c r="Q135" i="1" l="1"/>
  <c r="Q123" i="1"/>
  <c r="T125" i="1"/>
  <c r="M36" i="7" s="1"/>
  <c r="L36" i="7"/>
  <c r="T134" i="1"/>
  <c r="M37" i="7" s="1"/>
  <c r="L37" i="7"/>
  <c r="R37" i="1"/>
  <c r="R88" i="1"/>
  <c r="R135" i="1" s="1"/>
  <c r="R96" i="1"/>
  <c r="K16" i="7" s="1"/>
  <c r="R151" i="1"/>
  <c r="Q124" i="1"/>
  <c r="R152" i="1"/>
  <c r="Q133" i="1"/>
  <c r="Q84" i="1"/>
  <c r="I15" i="7"/>
  <c r="P122" i="1"/>
  <c r="S30" i="1"/>
  <c r="S34" i="1"/>
  <c r="T21" i="1"/>
  <c r="T32" i="1"/>
  <c r="T33" i="1" s="1"/>
  <c r="T19" i="1"/>
  <c r="S28" i="1"/>
  <c r="S22" i="1"/>
  <c r="S55" i="1" s="1"/>
  <c r="P39" i="1"/>
  <c r="P57" i="1" s="1"/>
  <c r="P38" i="1"/>
  <c r="P56" i="1" s="1"/>
  <c r="P51" i="1"/>
  <c r="H9" i="7"/>
  <c r="Q89" i="1" l="1"/>
  <c r="S151" i="1"/>
  <c r="R124" i="1"/>
  <c r="S37" i="1"/>
  <c r="S96" i="1"/>
  <c r="L16" i="7" s="1"/>
  <c r="S88" i="1"/>
  <c r="S135" i="1" s="1"/>
  <c r="S152" i="1"/>
  <c r="R133" i="1"/>
  <c r="R123" i="1"/>
  <c r="S123" i="1" s="1"/>
  <c r="R84" i="1"/>
  <c r="J15" i="7"/>
  <c r="Q122" i="1"/>
  <c r="T29" i="1"/>
  <c r="T20" i="1"/>
  <c r="T34" i="1" s="1"/>
  <c r="T31" i="1"/>
  <c r="Q39" i="1"/>
  <c r="Q57" i="1" s="1"/>
  <c r="Q38" i="1"/>
  <c r="Q56" i="1" s="1"/>
  <c r="Q51" i="1"/>
  <c r="I9" i="7"/>
  <c r="R122" i="1" l="1"/>
  <c r="R89" i="1"/>
  <c r="T152" i="1"/>
  <c r="S133" i="1"/>
  <c r="T151" i="1"/>
  <c r="S124" i="1"/>
  <c r="S84" i="1"/>
  <c r="K15" i="7"/>
  <c r="T30" i="1"/>
  <c r="T28" i="1"/>
  <c r="T22" i="1"/>
  <c r="T55" i="1" s="1"/>
  <c r="R39" i="1"/>
  <c r="R57" i="1" s="1"/>
  <c r="R38" i="1"/>
  <c r="R56" i="1" s="1"/>
  <c r="R51" i="1"/>
  <c r="J9" i="7"/>
  <c r="D104" i="1"/>
  <c r="E104" i="1"/>
  <c r="D9" i="21"/>
  <c r="D126" i="1" s="1"/>
  <c r="E9" i="21"/>
  <c r="C126" i="1"/>
  <c r="S89" i="1" l="1"/>
  <c r="T37" i="1"/>
  <c r="T96" i="1"/>
  <c r="T88" i="1"/>
  <c r="T135" i="1" s="1"/>
  <c r="T124" i="1"/>
  <c r="T133" i="1"/>
  <c r="T84" i="1"/>
  <c r="M15" i="7" s="1"/>
  <c r="L15" i="7"/>
  <c r="S122" i="1"/>
  <c r="S39" i="1"/>
  <c r="S57" i="1" s="1"/>
  <c r="S38" i="1"/>
  <c r="S56" i="1" s="1"/>
  <c r="S51" i="1"/>
  <c r="K9" i="7"/>
  <c r="E126" i="1"/>
  <c r="J5" i="21"/>
  <c r="I5" i="21"/>
  <c r="E5" i="21"/>
  <c r="D5" i="21"/>
  <c r="T89" i="1" l="1"/>
  <c r="M16" i="7"/>
  <c r="T123" i="1"/>
  <c r="T122" i="1"/>
  <c r="T39" i="1"/>
  <c r="T57" i="1" s="1"/>
  <c r="T38" i="1"/>
  <c r="T56" i="1" s="1"/>
  <c r="T51" i="1"/>
  <c r="M9" i="7" s="1"/>
  <c r="L9" i="7"/>
  <c r="D68" i="1"/>
  <c r="E68" i="1"/>
  <c r="F68" i="1"/>
  <c r="G68" i="1"/>
  <c r="H68" i="1"/>
  <c r="C68" i="1"/>
  <c r="D66" i="1"/>
  <c r="E66" i="1"/>
  <c r="F66" i="1"/>
  <c r="G66" i="1"/>
  <c r="H66" i="1"/>
  <c r="C66" i="1"/>
  <c r="D95" i="1"/>
  <c r="D99" i="1" s="1"/>
  <c r="E95" i="1"/>
  <c r="E99" i="1" s="1"/>
  <c r="G95" i="1"/>
  <c r="C95" i="1"/>
  <c r="C99" i="1" s="1"/>
  <c r="D64" i="1"/>
  <c r="E64" i="1"/>
  <c r="E80" i="1" s="1"/>
  <c r="F64" i="1"/>
  <c r="F80" i="1" s="1"/>
  <c r="G64" i="1"/>
  <c r="G80" i="1" s="1"/>
  <c r="H7" i="21" s="1"/>
  <c r="H64" i="1"/>
  <c r="H80" i="1" s="1"/>
  <c r="I7" i="21" s="1"/>
  <c r="C64" i="1"/>
  <c r="C80" i="1" s="1"/>
  <c r="D62" i="1"/>
  <c r="E62" i="1"/>
  <c r="F62" i="1"/>
  <c r="G62" i="1"/>
  <c r="H62" i="1"/>
  <c r="D61" i="1"/>
  <c r="E61" i="1"/>
  <c r="F61" i="1"/>
  <c r="G61" i="1"/>
  <c r="H61" i="1"/>
  <c r="D60" i="1"/>
  <c r="E60" i="1"/>
  <c r="F60" i="1"/>
  <c r="G60" i="1"/>
  <c r="H60" i="1"/>
  <c r="D59" i="1"/>
  <c r="E59" i="1"/>
  <c r="F59" i="1"/>
  <c r="G59" i="1"/>
  <c r="H59" i="1"/>
  <c r="D58" i="1"/>
  <c r="E58" i="1"/>
  <c r="F58" i="1"/>
  <c r="G58" i="1"/>
  <c r="H58" i="1"/>
  <c r="D57" i="1"/>
  <c r="E57" i="1"/>
  <c r="F57" i="1"/>
  <c r="G57" i="1"/>
  <c r="G39" i="1" s="1"/>
  <c r="H57" i="1"/>
  <c r="H39" i="1" s="1"/>
  <c r="C62" i="1"/>
  <c r="C61" i="1"/>
  <c r="C60" i="1"/>
  <c r="C59" i="1"/>
  <c r="C58" i="1"/>
  <c r="C57" i="1"/>
  <c r="C56" i="1"/>
  <c r="D55" i="1"/>
  <c r="E55" i="1"/>
  <c r="G149" i="1"/>
  <c r="H149" i="1"/>
  <c r="C55" i="1"/>
  <c r="G98" i="1" l="1"/>
  <c r="G99" i="1" s="1"/>
  <c r="C63" i="1"/>
  <c r="D80" i="1"/>
  <c r="I37" i="1"/>
  <c r="C39" i="1"/>
  <c r="H41" i="1"/>
  <c r="D41" i="1"/>
  <c r="D40" i="1"/>
  <c r="E41" i="1"/>
  <c r="H40" i="1"/>
  <c r="G40" i="1"/>
  <c r="C40" i="1"/>
  <c r="C41" i="1"/>
  <c r="G41" i="1"/>
  <c r="C38" i="1"/>
  <c r="E40" i="1"/>
  <c r="C269" i="1"/>
  <c r="C272" i="1" s="1"/>
  <c r="D6" i="21"/>
  <c r="D7" i="21" s="1"/>
  <c r="D269" i="1"/>
  <c r="D272" i="1" s="1"/>
  <c r="C4" i="21"/>
  <c r="K66" i="1" l="1"/>
  <c r="K62" i="1"/>
  <c r="K59" i="1"/>
  <c r="K60" i="1"/>
  <c r="K61" i="1"/>
  <c r="K136" i="1" l="1"/>
  <c r="K63" i="1"/>
  <c r="D8" i="7" s="1"/>
  <c r="D10" i="7" l="1"/>
  <c r="D11" i="7" s="1"/>
  <c r="H56" i="1"/>
  <c r="H38" i="1" s="1"/>
  <c r="D56" i="1"/>
  <c r="D63" i="1" s="1"/>
  <c r="D65" i="1" s="1"/>
  <c r="E56" i="1"/>
  <c r="E63" i="1" s="1"/>
  <c r="F56" i="1"/>
  <c r="G56" i="1"/>
  <c r="G38" i="1" s="1"/>
  <c r="C49" i="1"/>
  <c r="F150" i="1" l="1"/>
  <c r="G63" i="1"/>
  <c r="G150" i="1"/>
  <c r="H63" i="1"/>
  <c r="H150" i="1"/>
  <c r="I6" i="21"/>
  <c r="I8" i="21" s="1"/>
  <c r="I11" i="21" s="1"/>
  <c r="H6" i="21"/>
  <c r="H8" i="21" s="1"/>
  <c r="H11" i="21" s="1"/>
  <c r="E6" i="21"/>
  <c r="E7" i="21" s="1"/>
  <c r="D46" i="1"/>
  <c r="D43" i="1"/>
  <c r="E38" i="1"/>
  <c r="E42" i="1"/>
  <c r="E43" i="1"/>
  <c r="G44" i="1"/>
  <c r="H49" i="1"/>
  <c r="H43" i="1"/>
  <c r="G49" i="1"/>
  <c r="H42" i="1"/>
  <c r="G42" i="1"/>
  <c r="E44" i="1"/>
  <c r="D49" i="1"/>
  <c r="D42" i="1"/>
  <c r="E49" i="1"/>
  <c r="H44" i="1"/>
  <c r="D44" i="1"/>
  <c r="G43" i="1"/>
  <c r="D38" i="1"/>
  <c r="G47" i="1"/>
  <c r="G269" i="1"/>
  <c r="G272" i="1" s="1"/>
  <c r="F269" i="1"/>
  <c r="E47" i="1"/>
  <c r="E269" i="1"/>
  <c r="H47" i="1"/>
  <c r="H269" i="1"/>
  <c r="H272" i="1" s="1"/>
  <c r="C43" i="1"/>
  <c r="H46" i="1"/>
  <c r="C42" i="1"/>
  <c r="G46" i="1"/>
  <c r="C44" i="1"/>
  <c r="E46" i="1"/>
  <c r="D47" i="1"/>
  <c r="D37" i="1"/>
  <c r="B268" i="1"/>
  <c r="D2" i="14"/>
  <c r="E2" i="14"/>
  <c r="F2" i="14"/>
  <c r="G2" i="14"/>
  <c r="H2" i="14"/>
  <c r="E8" i="13"/>
  <c r="E15" i="13"/>
  <c r="D16" i="13"/>
  <c r="D15" i="13"/>
  <c r="D14" i="13"/>
  <c r="C17" i="13"/>
  <c r="C16" i="13"/>
  <c r="C15" i="13"/>
  <c r="C14" i="13"/>
  <c r="E9" i="13"/>
  <c r="E14" i="13"/>
  <c r="E7" i="13"/>
  <c r="E16" i="13"/>
  <c r="D5" i="1"/>
  <c r="D148" i="1" s="1"/>
  <c r="E37" i="1"/>
  <c r="D4" i="21" l="1"/>
  <c r="C67" i="1"/>
  <c r="C51" i="1" s="1"/>
  <c r="C65" i="1"/>
  <c r="K64" i="1"/>
  <c r="E5" i="1"/>
  <c r="E148" i="1" s="1"/>
  <c r="G65" i="1"/>
  <c r="G268" i="1" s="1"/>
  <c r="G270" i="1" s="1"/>
  <c r="G271" i="1" s="1"/>
  <c r="G45" i="1"/>
  <c r="E65" i="1"/>
  <c r="E45" i="1"/>
  <c r="E67" i="1"/>
  <c r="L87" i="1" l="1"/>
  <c r="K99" i="1"/>
  <c r="D13" i="7"/>
  <c r="E4" i="21"/>
  <c r="C48" i="1"/>
  <c r="C268" i="1"/>
  <c r="C270" i="1" s="1"/>
  <c r="C271" i="1" s="1"/>
  <c r="D48" i="1"/>
  <c r="D268" i="1"/>
  <c r="D270" i="1" s="1"/>
  <c r="L6" i="21"/>
  <c r="L62" i="1"/>
  <c r="L61" i="1"/>
  <c r="L60" i="1"/>
  <c r="L59" i="1"/>
  <c r="L132" i="1"/>
  <c r="L64" i="1"/>
  <c r="D67" i="1"/>
  <c r="D69" i="1" s="1"/>
  <c r="D79" i="1" s="1"/>
  <c r="D93" i="1" s="1"/>
  <c r="D103" i="1" s="1"/>
  <c r="D108" i="1" s="1"/>
  <c r="E106" i="1" s="1"/>
  <c r="L95" i="1"/>
  <c r="M121" i="1"/>
  <c r="L66" i="1"/>
  <c r="F5" i="1"/>
  <c r="C50" i="1"/>
  <c r="C69" i="1"/>
  <c r="C79" i="1" s="1"/>
  <c r="C93" i="1" s="1"/>
  <c r="C103" i="1" s="1"/>
  <c r="C108" i="1" s="1"/>
  <c r="D106" i="1" s="1"/>
  <c r="E69" i="1"/>
  <c r="E79" i="1" s="1"/>
  <c r="E93" i="1" s="1"/>
  <c r="E103" i="1" s="1"/>
  <c r="E108" i="1" s="1"/>
  <c r="E51" i="1"/>
  <c r="D45" i="1"/>
  <c r="C45" i="1"/>
  <c r="E272" i="1"/>
  <c r="E50" i="1"/>
  <c r="G67" i="1"/>
  <c r="E48" i="1"/>
  <c r="E268" i="1"/>
  <c r="L17" i="21" l="1"/>
  <c r="L28" i="21" s="1"/>
  <c r="K80" i="1" s="1"/>
  <c r="L90" i="1"/>
  <c r="L86" i="1" s="1"/>
  <c r="L136" i="1"/>
  <c r="M87" i="1"/>
  <c r="L99" i="1"/>
  <c r="E13" i="7"/>
  <c r="E27" i="7" s="1"/>
  <c r="L63" i="1"/>
  <c r="E8" i="7" s="1"/>
  <c r="C119" i="1"/>
  <c r="C129" i="1" s="1"/>
  <c r="C143" i="1" s="1"/>
  <c r="G4" i="21"/>
  <c r="E274" i="1"/>
  <c r="C274" i="1"/>
  <c r="D274" i="1"/>
  <c r="M132" i="1"/>
  <c r="M62" i="1"/>
  <c r="M61" i="1"/>
  <c r="M60" i="1"/>
  <c r="M59" i="1"/>
  <c r="M58" i="1"/>
  <c r="D50" i="1"/>
  <c r="M6" i="21"/>
  <c r="M64" i="1"/>
  <c r="G5" i="1"/>
  <c r="D51" i="1"/>
  <c r="E52" i="1"/>
  <c r="M66" i="1"/>
  <c r="N121" i="1"/>
  <c r="M95" i="1"/>
  <c r="E39" i="1"/>
  <c r="D39" i="1"/>
  <c r="G50" i="1"/>
  <c r="G51" i="1"/>
  <c r="D271" i="1"/>
  <c r="G48" i="1"/>
  <c r="E270" i="1"/>
  <c r="E271" i="1" s="1"/>
  <c r="G69" i="1"/>
  <c r="G79" i="1" s="1"/>
  <c r="G92" i="1" s="1"/>
  <c r="G93" i="1" s="1"/>
  <c r="D52" i="1"/>
  <c r="E10" i="7" l="1"/>
  <c r="E11" i="7" s="1"/>
  <c r="E25" i="7" s="1"/>
  <c r="M18" i="21"/>
  <c r="N18" i="21" s="1"/>
  <c r="M17" i="21"/>
  <c r="L7" i="21"/>
  <c r="N87" i="1"/>
  <c r="M90" i="1"/>
  <c r="M86" i="1" s="1"/>
  <c r="M136" i="1"/>
  <c r="M99" i="1"/>
  <c r="F13" i="7"/>
  <c r="F27" i="7" s="1"/>
  <c r="M63" i="1"/>
  <c r="G103" i="1"/>
  <c r="G105" i="1" s="1"/>
  <c r="D119" i="1"/>
  <c r="D129" i="1" s="1"/>
  <c r="D143" i="1" s="1"/>
  <c r="H4" i="21"/>
  <c r="G274" i="1"/>
  <c r="N132" i="1"/>
  <c r="N62" i="1"/>
  <c r="N61" i="1"/>
  <c r="N60" i="1"/>
  <c r="N59" i="1"/>
  <c r="N58" i="1"/>
  <c r="H5" i="1"/>
  <c r="I5" i="1" s="1"/>
  <c r="J4" i="21" s="1"/>
  <c r="N6" i="21"/>
  <c r="N64" i="1"/>
  <c r="O121" i="1"/>
  <c r="N66" i="1"/>
  <c r="N95" i="1"/>
  <c r="G52" i="1"/>
  <c r="C52" i="1"/>
  <c r="O18" i="21" l="1"/>
  <c r="P18" i="21" s="1"/>
  <c r="M28" i="21"/>
  <c r="L80" i="1" s="1"/>
  <c r="N17" i="21"/>
  <c r="N19" i="21"/>
  <c r="D12" i="7"/>
  <c r="L9" i="21"/>
  <c r="N90" i="1"/>
  <c r="N86" i="1" s="1"/>
  <c r="N136" i="1"/>
  <c r="O87" i="1"/>
  <c r="N99" i="1"/>
  <c r="G13" i="7"/>
  <c r="G27" i="7" s="1"/>
  <c r="M45" i="1"/>
  <c r="F8" i="7"/>
  <c r="N63" i="1"/>
  <c r="E119" i="1"/>
  <c r="E129" i="1" s="1"/>
  <c r="E143" i="1" s="1"/>
  <c r="D275" i="1"/>
  <c r="C275" i="1"/>
  <c r="I4" i="21"/>
  <c r="O62" i="1"/>
  <c r="O61" i="1"/>
  <c r="O60" i="1"/>
  <c r="O59" i="1"/>
  <c r="O58" i="1"/>
  <c r="O132" i="1"/>
  <c r="O6" i="21"/>
  <c r="O64" i="1"/>
  <c r="P121" i="1"/>
  <c r="O66" i="1"/>
  <c r="O95" i="1"/>
  <c r="F10" i="7" l="1"/>
  <c r="F11" i="7" s="1"/>
  <c r="F25" i="7" s="1"/>
  <c r="Q18" i="21"/>
  <c r="R18" i="21" s="1"/>
  <c r="S18" i="21" s="1"/>
  <c r="T18" i="21" s="1"/>
  <c r="U18" i="21" s="1"/>
  <c r="O19" i="21"/>
  <c r="P19" i="21" s="1"/>
  <c r="Q19" i="21" s="1"/>
  <c r="O17" i="21"/>
  <c r="N28" i="21"/>
  <c r="M80" i="1" s="1"/>
  <c r="M7" i="21"/>
  <c r="O20" i="21"/>
  <c r="P20" i="21" s="1"/>
  <c r="Q20" i="21" s="1"/>
  <c r="R20" i="21" s="1"/>
  <c r="K126" i="1"/>
  <c r="M5" i="21"/>
  <c r="O90" i="1"/>
  <c r="O86" i="1" s="1"/>
  <c r="O136" i="1"/>
  <c r="P87" i="1"/>
  <c r="N45" i="1"/>
  <c r="G8" i="7"/>
  <c r="O99" i="1"/>
  <c r="H13" i="7"/>
  <c r="H27" i="7" s="1"/>
  <c r="O63" i="1"/>
  <c r="K5" i="1"/>
  <c r="D6" i="7" s="1"/>
  <c r="P62" i="1"/>
  <c r="P61" i="1"/>
  <c r="P60" i="1"/>
  <c r="P59" i="1"/>
  <c r="P58" i="1"/>
  <c r="P132" i="1"/>
  <c r="P6" i="21"/>
  <c r="P64" i="1"/>
  <c r="P66" i="1"/>
  <c r="Q121" i="1"/>
  <c r="Q87" i="1" s="1"/>
  <c r="P95" i="1"/>
  <c r="G10" i="7" l="1"/>
  <c r="G11" i="7" s="1"/>
  <c r="G25" i="7" s="1"/>
  <c r="O28" i="21"/>
  <c r="N80" i="1" s="1"/>
  <c r="P17" i="21"/>
  <c r="Q17" i="21" s="1"/>
  <c r="R17" i="21" s="1"/>
  <c r="S17" i="21" s="1"/>
  <c r="T17" i="21" s="1"/>
  <c r="U17" i="21" s="1"/>
  <c r="S20" i="21"/>
  <c r="T20" i="21" s="1"/>
  <c r="U20" i="21" s="1"/>
  <c r="E12" i="7"/>
  <c r="E26" i="7" s="1"/>
  <c r="M9" i="21"/>
  <c r="N5" i="21" s="1"/>
  <c r="R19" i="21"/>
  <c r="S19" i="21" s="1"/>
  <c r="T19" i="21" s="1"/>
  <c r="U19" i="21" s="1"/>
  <c r="N7" i="21"/>
  <c r="P21" i="21"/>
  <c r="Q21" i="21" s="1"/>
  <c r="P90" i="1"/>
  <c r="P86" i="1" s="1"/>
  <c r="P136" i="1"/>
  <c r="P99" i="1"/>
  <c r="I13" i="7"/>
  <c r="I27" i="7" s="1"/>
  <c r="O45" i="1"/>
  <c r="H8" i="7"/>
  <c r="P63" i="1"/>
  <c r="L5" i="1"/>
  <c r="E6" i="7" s="1"/>
  <c r="L4" i="21"/>
  <c r="Q132" i="1"/>
  <c r="Q62" i="1"/>
  <c r="Q61" i="1"/>
  <c r="Q60" i="1"/>
  <c r="Q59" i="1"/>
  <c r="Q58" i="1"/>
  <c r="Q6" i="21"/>
  <c r="Q64" i="1"/>
  <c r="Q66" i="1"/>
  <c r="R121" i="1"/>
  <c r="R87" i="1" s="1"/>
  <c r="Q95" i="1"/>
  <c r="H10" i="7" l="1"/>
  <c r="H11" i="7" s="1"/>
  <c r="H25" i="7" s="1"/>
  <c r="P28" i="21"/>
  <c r="O80" i="1" s="1"/>
  <c r="L126" i="1"/>
  <c r="F12" i="7"/>
  <c r="F26" i="7" s="1"/>
  <c r="R21" i="21"/>
  <c r="S21" i="21" s="1"/>
  <c r="O7" i="21"/>
  <c r="Q22" i="21"/>
  <c r="R22" i="21" s="1"/>
  <c r="N9" i="21"/>
  <c r="Q90" i="1"/>
  <c r="Q86" i="1" s="1"/>
  <c r="Q136" i="1"/>
  <c r="Q99" i="1"/>
  <c r="J13" i="7"/>
  <c r="J27" i="7" s="1"/>
  <c r="P45" i="1"/>
  <c r="I8" i="7"/>
  <c r="Q63" i="1"/>
  <c r="M4" i="21"/>
  <c r="M5" i="1"/>
  <c r="F6" i="7" s="1"/>
  <c r="R132" i="1"/>
  <c r="R62" i="1"/>
  <c r="R61" i="1"/>
  <c r="R60" i="1"/>
  <c r="R59" i="1"/>
  <c r="R58" i="1"/>
  <c r="R6" i="21"/>
  <c r="R64" i="1"/>
  <c r="R66" i="1"/>
  <c r="R95" i="1"/>
  <c r="I10" i="7" l="1"/>
  <c r="I11" i="7" s="1"/>
  <c r="I25" i="7" s="1"/>
  <c r="P7" i="21"/>
  <c r="G12" i="7"/>
  <c r="G26" i="7" s="1"/>
  <c r="S22" i="21"/>
  <c r="T22" i="21" s="1"/>
  <c r="H12" i="7"/>
  <c r="T21" i="21"/>
  <c r="U21" i="21" s="1"/>
  <c r="M126" i="1"/>
  <c r="O5" i="21"/>
  <c r="O9" i="21" s="1"/>
  <c r="R23" i="21"/>
  <c r="S23" i="21" s="1"/>
  <c r="T23" i="21" s="1"/>
  <c r="U23" i="21" s="1"/>
  <c r="R90" i="1"/>
  <c r="R86" i="1" s="1"/>
  <c r="R136" i="1"/>
  <c r="T121" i="1"/>
  <c r="S121" i="1"/>
  <c r="Q45" i="1"/>
  <c r="J8" i="7"/>
  <c r="R99" i="1"/>
  <c r="K13" i="7"/>
  <c r="K27" i="7" s="1"/>
  <c r="N5" i="1"/>
  <c r="G6" i="7" s="1"/>
  <c r="T60" i="1"/>
  <c r="T132" i="1"/>
  <c r="T61" i="1"/>
  <c r="T62" i="1"/>
  <c r="T95" i="1"/>
  <c r="R63" i="1"/>
  <c r="S60" i="1"/>
  <c r="N4" i="21"/>
  <c r="S62" i="1"/>
  <c r="S61" i="1"/>
  <c r="S58" i="1"/>
  <c r="S66" i="1"/>
  <c r="S64" i="1"/>
  <c r="S59" i="1"/>
  <c r="S95" i="1"/>
  <c r="S132" i="1"/>
  <c r="E275" i="1"/>
  <c r="S6" i="21"/>
  <c r="H37" i="1"/>
  <c r="H26" i="7" l="1"/>
  <c r="J10" i="7"/>
  <c r="J11" i="7" s="1"/>
  <c r="J25" i="7" s="1"/>
  <c r="N126" i="1"/>
  <c r="P5" i="21"/>
  <c r="P9" i="21" s="1"/>
  <c r="U22" i="21"/>
  <c r="S24" i="21"/>
  <c r="T24" i="21" s="1"/>
  <c r="U24" i="21" s="1"/>
  <c r="O5" i="1"/>
  <c r="H6" i="7" s="1"/>
  <c r="O4" i="21"/>
  <c r="T59" i="1"/>
  <c r="T87" i="1"/>
  <c r="S87" i="1"/>
  <c r="S90" i="1"/>
  <c r="S136" i="1"/>
  <c r="T90" i="1"/>
  <c r="T136" i="1"/>
  <c r="T64" i="1"/>
  <c r="T66" i="1"/>
  <c r="T58" i="1"/>
  <c r="T99" i="1"/>
  <c r="U6" i="21"/>
  <c r="U26" i="21" s="1"/>
  <c r="M13" i="7"/>
  <c r="S99" i="1"/>
  <c r="L13" i="7"/>
  <c r="L27" i="7" s="1"/>
  <c r="R45" i="1"/>
  <c r="K8" i="7"/>
  <c r="S63" i="1"/>
  <c r="T6" i="21"/>
  <c r="T25" i="21" s="1"/>
  <c r="U25" i="21" s="1"/>
  <c r="H45" i="1"/>
  <c r="H65" i="1"/>
  <c r="K10" i="7" l="1"/>
  <c r="K11" i="7" s="1"/>
  <c r="K25" i="7" s="1"/>
  <c r="O126" i="1"/>
  <c r="Q5" i="21"/>
  <c r="P5" i="1"/>
  <c r="I6" i="7" s="1"/>
  <c r="P4" i="21"/>
  <c r="T63" i="1"/>
  <c r="M8" i="7" s="1"/>
  <c r="S86" i="1"/>
  <c r="T86" i="1"/>
  <c r="M27" i="7"/>
  <c r="S45" i="1"/>
  <c r="L8" i="7"/>
  <c r="H48" i="1"/>
  <c r="H268" i="1"/>
  <c r="H270" i="1" s="1"/>
  <c r="H271" i="1" s="1"/>
  <c r="H67" i="1"/>
  <c r="H51" i="1" s="1"/>
  <c r="L10" i="7" l="1"/>
  <c r="L11" i="7" s="1"/>
  <c r="L25" i="7" s="1"/>
  <c r="M10" i="7"/>
  <c r="D29" i="7"/>
  <c r="Q5" i="1"/>
  <c r="J6" i="7" s="1"/>
  <c r="Q4" i="21"/>
  <c r="T67" i="1"/>
  <c r="T50" i="1" s="1"/>
  <c r="T45" i="1"/>
  <c r="T65" i="1"/>
  <c r="T48" i="1" s="1"/>
  <c r="S65" i="1"/>
  <c r="S48" i="1" s="1"/>
  <c r="S67" i="1"/>
  <c r="S50" i="1" s="1"/>
  <c r="K65" i="1"/>
  <c r="K48" i="1" s="1"/>
  <c r="H69" i="1"/>
  <c r="H79" i="1" s="1"/>
  <c r="H92" i="1" s="1"/>
  <c r="H50" i="1"/>
  <c r="M11" i="7" l="1"/>
  <c r="M25" i="7" s="1"/>
  <c r="R5" i="1"/>
  <c r="K6" i="7" s="1"/>
  <c r="R4" i="21"/>
  <c r="T68" i="1"/>
  <c r="T69" i="1" s="1"/>
  <c r="T52" i="1" s="1"/>
  <c r="H93" i="1"/>
  <c r="S68" i="1"/>
  <c r="H274" i="1"/>
  <c r="K45" i="1"/>
  <c r="K67" i="1"/>
  <c r="K68" i="1" s="1"/>
  <c r="J6" i="13"/>
  <c r="K22" i="13"/>
  <c r="D4" i="13"/>
  <c r="J22" i="13"/>
  <c r="B3" i="14"/>
  <c r="H52" i="1"/>
  <c r="D30" i="7" l="1"/>
  <c r="S4" i="21"/>
  <c r="S5" i="1"/>
  <c r="L6" i="7" s="1"/>
  <c r="T79" i="1"/>
  <c r="H103" i="1"/>
  <c r="H105" i="1" s="1"/>
  <c r="S69" i="1"/>
  <c r="M65" i="1"/>
  <c r="M48" i="1" s="1"/>
  <c r="L67" i="1"/>
  <c r="L68" i="1" s="1"/>
  <c r="L65" i="1"/>
  <c r="L48" i="1" s="1"/>
  <c r="B4" i="14"/>
  <c r="C3" i="14"/>
  <c r="F3" i="14"/>
  <c r="H3" i="14"/>
  <c r="G3" i="14"/>
  <c r="D3" i="14"/>
  <c r="E3" i="14"/>
  <c r="K69" i="1"/>
  <c r="K79" i="1" s="1"/>
  <c r="K93" i="1" s="1"/>
  <c r="K103" i="1" s="1"/>
  <c r="K119" i="1" s="1"/>
  <c r="D34" i="7" s="1"/>
  <c r="K50" i="1"/>
  <c r="L45" i="1"/>
  <c r="D24" i="13"/>
  <c r="F24" i="13"/>
  <c r="F23" i="13"/>
  <c r="D23" i="13"/>
  <c r="F22" i="13"/>
  <c r="D22" i="13"/>
  <c r="F6" i="13"/>
  <c r="D6" i="13"/>
  <c r="T5" i="1" l="1"/>
  <c r="M6" i="7" s="1"/>
  <c r="T4" i="21"/>
  <c r="K140" i="1"/>
  <c r="S79" i="1"/>
  <c r="S52" i="1"/>
  <c r="N65" i="1"/>
  <c r="N48" i="1" s="1"/>
  <c r="L50" i="1"/>
  <c r="L69" i="1"/>
  <c r="L79" i="1" s="1"/>
  <c r="D17" i="13"/>
  <c r="D21" i="13"/>
  <c r="K52" i="1"/>
  <c r="F21" i="13"/>
  <c r="E6" i="13"/>
  <c r="E17" i="13" s="1"/>
  <c r="C4" i="14"/>
  <c r="E4" i="14"/>
  <c r="F4" i="14"/>
  <c r="G4" i="14"/>
  <c r="H4" i="14"/>
  <c r="D4" i="14"/>
  <c r="M67" i="1"/>
  <c r="M50" i="1" s="1"/>
  <c r="U4" i="21" l="1"/>
  <c r="L140" i="1"/>
  <c r="L93" i="1"/>
  <c r="M68" i="1"/>
  <c r="M69" i="1" s="1"/>
  <c r="O65" i="1"/>
  <c r="O48" i="1" s="1"/>
  <c r="L52" i="1"/>
  <c r="M79" i="1" l="1"/>
  <c r="M52" i="1"/>
  <c r="N67" i="1"/>
  <c r="N50" i="1" s="1"/>
  <c r="M140" i="1" l="1"/>
  <c r="M93" i="1"/>
  <c r="N68" i="1"/>
  <c r="N69" i="1" s="1"/>
  <c r="P67" i="1"/>
  <c r="P50" i="1" s="1"/>
  <c r="P65" i="1"/>
  <c r="P48" i="1" s="1"/>
  <c r="N79" i="1" l="1"/>
  <c r="N52" i="1"/>
  <c r="P68" i="1"/>
  <c r="R65" i="1"/>
  <c r="R48" i="1" s="1"/>
  <c r="R67" i="1"/>
  <c r="R50" i="1" s="1"/>
  <c r="Q67" i="1"/>
  <c r="Q50" i="1" s="1"/>
  <c r="Q65" i="1"/>
  <c r="Q48" i="1" s="1"/>
  <c r="O67" i="1"/>
  <c r="O50" i="1" s="1"/>
  <c r="N140" i="1" l="1"/>
  <c r="N93" i="1"/>
  <c r="P69" i="1"/>
  <c r="O68" i="1"/>
  <c r="Q68" i="1"/>
  <c r="R68" i="1"/>
  <c r="R69" i="1" s="1"/>
  <c r="Q69" i="1" l="1"/>
  <c r="Q79" i="1" s="1"/>
  <c r="R79" i="1"/>
  <c r="R52" i="1"/>
  <c r="O69" i="1"/>
  <c r="P79" i="1"/>
  <c r="P52" i="1"/>
  <c r="Q52" i="1" l="1"/>
  <c r="O79" i="1"/>
  <c r="O52" i="1"/>
  <c r="O140" i="1" l="1"/>
  <c r="P140" i="1" s="1"/>
  <c r="Q140" i="1" s="1"/>
  <c r="R140" i="1" s="1"/>
  <c r="S140" i="1" s="1"/>
  <c r="T140" i="1" s="1"/>
  <c r="O93" i="1"/>
  <c r="I40" i="1"/>
  <c r="I41" i="1"/>
  <c r="I42" i="1"/>
  <c r="I43" i="1"/>
  <c r="I44" i="1"/>
  <c r="I63" i="1"/>
  <c r="J22" i="22" s="1"/>
  <c r="J24" i="22" s="1"/>
  <c r="I45" i="1" l="1"/>
  <c r="I49" i="1"/>
  <c r="I67" i="1"/>
  <c r="I50" i="1" s="1"/>
  <c r="I69" i="1" l="1"/>
  <c r="I79" i="1" s="1"/>
  <c r="I51" i="1"/>
  <c r="K138" i="1" l="1"/>
  <c r="I52" i="1"/>
  <c r="K142" i="1" l="1"/>
  <c r="D33" i="7"/>
  <c r="D38" i="7" s="1"/>
  <c r="I65" i="1"/>
  <c r="I48" i="1" s="1"/>
  <c r="I46" i="1"/>
  <c r="I80" i="1"/>
  <c r="J7" i="21" l="1"/>
  <c r="I92" i="1"/>
  <c r="I93" i="1" s="1"/>
  <c r="J6" i="21"/>
  <c r="I99" i="1"/>
  <c r="I47" i="1"/>
  <c r="J8" i="21" l="1"/>
  <c r="J11" i="21" s="1"/>
  <c r="I103" i="1"/>
  <c r="I105" i="1" s="1"/>
  <c r="G14" i="7" l="1"/>
  <c r="G17" i="7" s="1"/>
  <c r="N103" i="1" l="1"/>
  <c r="N105" i="1" s="1"/>
  <c r="H14" i="7" l="1"/>
  <c r="H17" i="7" s="1"/>
  <c r="I14" i="7"/>
  <c r="H21" i="7" l="1"/>
  <c r="O103" i="1"/>
  <c r="O105" i="1" s="1"/>
  <c r="J14" i="7"/>
  <c r="K14" i="7" l="1"/>
  <c r="M14" i="7" l="1"/>
  <c r="L14" i="7"/>
  <c r="F14" i="7" l="1"/>
  <c r="F17" i="7" s="1"/>
  <c r="E14" i="7"/>
  <c r="E17" i="7" s="1"/>
  <c r="D14" i="7"/>
  <c r="D17" i="7" s="1"/>
  <c r="D21" i="7" l="1"/>
  <c r="M103" i="1"/>
  <c r="M105" i="1" s="1"/>
  <c r="L103" i="1"/>
  <c r="L105" i="1" l="1"/>
  <c r="L119" i="1"/>
  <c r="K105" i="1"/>
  <c r="F21" i="7"/>
  <c r="G21" i="7"/>
  <c r="G24" i="7"/>
  <c r="H24" i="7"/>
  <c r="M119" i="1" l="1"/>
  <c r="E34" i="7"/>
  <c r="L106" i="1"/>
  <c r="E21" i="7"/>
  <c r="E24" i="7"/>
  <c r="F24" i="7"/>
  <c r="N119" i="1" l="1"/>
  <c r="F34" i="7"/>
  <c r="M106" i="1"/>
  <c r="L138" i="1"/>
  <c r="L142" i="1" l="1"/>
  <c r="E33" i="7"/>
  <c r="E38" i="7" s="1"/>
  <c r="E39" i="7" s="1"/>
  <c r="O119" i="1"/>
  <c r="H34" i="7" s="1"/>
  <c r="G34" i="7"/>
  <c r="N106" i="1"/>
  <c r="M138" i="1"/>
  <c r="M142" i="1" l="1"/>
  <c r="F33" i="7"/>
  <c r="F38" i="7" s="1"/>
  <c r="F39" i="7" s="1"/>
  <c r="O106" i="1"/>
  <c r="N138" i="1"/>
  <c r="N142" i="1" l="1"/>
  <c r="G33" i="7"/>
  <c r="G38" i="7" s="1"/>
  <c r="G39" i="7" s="1"/>
  <c r="P106" i="1"/>
  <c r="O138" i="1"/>
  <c r="O142" i="1" l="1"/>
  <c r="H33" i="7"/>
  <c r="H38" i="7" s="1"/>
  <c r="H39" i="7" s="1"/>
  <c r="P138" i="1"/>
  <c r="P142" i="1" l="1"/>
  <c r="I33" i="7"/>
  <c r="Q138" i="1"/>
  <c r="Q142" i="1" l="1"/>
  <c r="J33" i="7"/>
  <c r="R138" i="1"/>
  <c r="R142" i="1" l="1"/>
  <c r="K33" i="7"/>
  <c r="T138" i="1"/>
  <c r="S138" i="1"/>
  <c r="S142" i="1" l="1"/>
  <c r="L33" i="7"/>
  <c r="T142" i="1"/>
  <c r="M33" i="7"/>
  <c r="F55" i="1"/>
  <c r="F42" i="1" l="1"/>
  <c r="F41" i="1"/>
  <c r="F39" i="1"/>
  <c r="F40" i="1"/>
  <c r="F75" i="1"/>
  <c r="F151" i="1"/>
  <c r="F76" i="1"/>
  <c r="F152" i="1"/>
  <c r="F77" i="1"/>
  <c r="F38" i="1"/>
  <c r="G37" i="1"/>
  <c r="F47" i="1"/>
  <c r="F37" i="1"/>
  <c r="F149" i="1"/>
  <c r="F63" i="1"/>
  <c r="F272" i="1"/>
  <c r="F46" i="1"/>
  <c r="F43" i="1"/>
  <c r="F49" i="1"/>
  <c r="F44" i="1"/>
  <c r="F45" i="1" l="1"/>
  <c r="F67" i="1"/>
  <c r="F65" i="1"/>
  <c r="F268" i="1" l="1"/>
  <c r="F270" i="1" s="1"/>
  <c r="F271" i="1" s="1"/>
  <c r="F48" i="1"/>
  <c r="F51" i="1"/>
  <c r="F50" i="1"/>
  <c r="F69" i="1"/>
  <c r="F52" i="1" l="1"/>
  <c r="F274" i="1"/>
  <c r="F79" i="1"/>
  <c r="F92" i="1" s="1"/>
  <c r="F93" i="1" l="1"/>
  <c r="F103" i="1" s="1"/>
  <c r="F105" i="1" s="1"/>
  <c r="F108" i="1" s="1"/>
  <c r="G106" i="1" l="1"/>
  <c r="G108" i="1" s="1"/>
  <c r="F111" i="1"/>
  <c r="F119" i="1" s="1"/>
  <c r="H106" i="1" l="1"/>
  <c r="H108" i="1" s="1"/>
  <c r="G111" i="1"/>
  <c r="F127" i="1"/>
  <c r="F129" i="1" s="1"/>
  <c r="H111" i="1" l="1"/>
  <c r="H119" i="1" s="1"/>
  <c r="H127" i="1" s="1"/>
  <c r="H129" i="1" s="1"/>
  <c r="I106" i="1"/>
  <c r="I108" i="1" s="1"/>
  <c r="I111" i="1" s="1"/>
  <c r="I119" i="1" s="1"/>
  <c r="I127" i="1" s="1"/>
  <c r="F275" i="1"/>
  <c r="F143" i="1"/>
  <c r="G119" i="1"/>
  <c r="G127" i="1" s="1"/>
  <c r="G129" i="1" s="1"/>
  <c r="G275" i="1" s="1"/>
  <c r="H143" i="1" l="1"/>
  <c r="H275" i="1"/>
  <c r="G143" i="1"/>
  <c r="L127" i="1"/>
  <c r="M127" i="1" s="1"/>
  <c r="N127" i="1" s="1"/>
  <c r="O127" i="1" s="1"/>
  <c r="P127" i="1" s="1"/>
  <c r="Q127" i="1" s="1"/>
  <c r="R127" i="1" s="1"/>
  <c r="S127" i="1" s="1"/>
  <c r="T127" i="1" s="1"/>
  <c r="I129" i="1" l="1"/>
  <c r="I143" i="1" s="1"/>
  <c r="D50" i="7"/>
  <c r="K129" i="1" l="1"/>
  <c r="K143" i="1" s="1"/>
  <c r="L129" i="1" l="1"/>
  <c r="L143" i="1" s="1"/>
  <c r="M129" i="1"/>
  <c r="M143" i="1" s="1"/>
  <c r="N129" i="1" l="1"/>
  <c r="N143" i="1" s="1"/>
  <c r="O129" i="1" l="1"/>
  <c r="O143" i="1" s="1"/>
  <c r="S28" i="21" l="1"/>
  <c r="R80" i="1" s="1"/>
  <c r="Q28" i="21"/>
  <c r="P80" i="1" s="1"/>
  <c r="R28" i="21"/>
  <c r="Q80" i="1" s="1"/>
  <c r="S7" i="21" l="1"/>
  <c r="Q7" i="21"/>
  <c r="R7" i="21"/>
  <c r="Q9" i="21" l="1"/>
  <c r="P126" i="1" s="1"/>
  <c r="P93" i="1"/>
  <c r="P103" i="1" s="1"/>
  <c r="J12" i="7"/>
  <c r="Q93" i="1"/>
  <c r="Q103" i="1" s="1"/>
  <c r="Q105" i="1" s="1"/>
  <c r="K12" i="7"/>
  <c r="R93" i="1"/>
  <c r="R103" i="1" s="1"/>
  <c r="R105" i="1" s="1"/>
  <c r="T28" i="21"/>
  <c r="S80" i="1" s="1"/>
  <c r="U28" i="21"/>
  <c r="T80" i="1" s="1"/>
  <c r="R5" i="21" l="1"/>
  <c r="R9" i="21" s="1"/>
  <c r="K17" i="7"/>
  <c r="K21" i="7" s="1"/>
  <c r="K26" i="7"/>
  <c r="J17" i="7"/>
  <c r="J21" i="7" s="1"/>
  <c r="P105" i="1"/>
  <c r="P119" i="1"/>
  <c r="I12" i="7"/>
  <c r="I26" i="7" s="1"/>
  <c r="U7" i="21"/>
  <c r="T7" i="21"/>
  <c r="Q126" i="1"/>
  <c r="S5" i="21"/>
  <c r="S9" i="21" s="1"/>
  <c r="J26" i="7" l="1"/>
  <c r="K24" i="7"/>
  <c r="I17" i="7"/>
  <c r="I21" i="7" s="1"/>
  <c r="Q119" i="1"/>
  <c r="I34" i="7"/>
  <c r="I38" i="7" s="1"/>
  <c r="I39" i="7" s="1"/>
  <c r="Q106" i="1"/>
  <c r="L12" i="7"/>
  <c r="L26" i="7" s="1"/>
  <c r="S93" i="1"/>
  <c r="S103" i="1" s="1"/>
  <c r="S105" i="1" s="1"/>
  <c r="M12" i="7"/>
  <c r="T93" i="1"/>
  <c r="T103" i="1" s="1"/>
  <c r="T105" i="1" s="1"/>
  <c r="T5" i="21"/>
  <c r="T9" i="21" s="1"/>
  <c r="R126" i="1"/>
  <c r="M17" i="7" l="1"/>
  <c r="D46" i="7" s="1"/>
  <c r="D47" i="7" s="1"/>
  <c r="M26" i="7"/>
  <c r="I24" i="7"/>
  <c r="J24" i="7"/>
  <c r="L17" i="7"/>
  <c r="L21" i="7" s="1"/>
  <c r="R119" i="1"/>
  <c r="K34" i="7" s="1"/>
  <c r="K38" i="7" s="1"/>
  <c r="K39" i="7" s="1"/>
  <c r="J34" i="7"/>
  <c r="J38" i="7" s="1"/>
  <c r="J39" i="7" s="1"/>
  <c r="R106" i="1"/>
  <c r="P129" i="1"/>
  <c r="P143" i="1" s="1"/>
  <c r="U5" i="21"/>
  <c r="S126" i="1"/>
  <c r="L24" i="7" l="1"/>
  <c r="M24" i="7"/>
  <c r="D31" i="7"/>
  <c r="M21" i="7"/>
  <c r="D48" i="7" s="1"/>
  <c r="S119" i="1"/>
  <c r="S106" i="1"/>
  <c r="Q129" i="1"/>
  <c r="Q143" i="1" s="1"/>
  <c r="U9" i="21"/>
  <c r="T126" i="1" s="1"/>
  <c r="D49" i="7" l="1"/>
  <c r="E48" i="7" s="1"/>
  <c r="T119" i="1"/>
  <c r="M34" i="7" s="1"/>
  <c r="M38" i="7" s="1"/>
  <c r="M39" i="7" s="1"/>
  <c r="L34" i="7"/>
  <c r="L38" i="7" s="1"/>
  <c r="L39" i="7" s="1"/>
  <c r="T106" i="1"/>
  <c r="R129" i="1"/>
  <c r="R143" i="1" s="1"/>
  <c r="D54" i="7" l="1"/>
  <c r="D58" i="7" s="1"/>
  <c r="D60" i="7" s="1"/>
  <c r="E47" i="7"/>
  <c r="S129" i="1"/>
  <c r="S143" i="1" s="1"/>
  <c r="E63" i="7" l="1"/>
  <c r="T129" i="1"/>
  <c r="T143" i="1" s="1"/>
</calcChain>
</file>

<file path=xl/comments1.xml><?xml version="1.0" encoding="utf-8"?>
<comments xmlns="http://schemas.openxmlformats.org/spreadsheetml/2006/main">
  <authors>
    <author>user</author>
  </authors>
  <commentList>
    <comment ref="B13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Modeling simplification: Other Liabilities includes the modeled transaction loss allowance cash-flow adjustment. As this balance-sheet classification does not materially affect the DCF valuation, no separate allowance roll-forward is modeled.</t>
        </r>
      </text>
    </comment>
    <comment ref="K13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Modeling simplification: Other Liabilities includes the modeled transaction loss allowance cash-flow adjustment. As this balance-sheet classification does not materially affect the DCF valuation, no separate allowance roll-forward is modeled.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C36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https://www.finra.org/finra-data/fixed-income/corp-and-agency</t>
        </r>
      </text>
    </comment>
  </commentList>
</comments>
</file>

<file path=xl/sharedStrings.xml><?xml version="1.0" encoding="utf-8"?>
<sst xmlns="http://schemas.openxmlformats.org/spreadsheetml/2006/main" count="573" uniqueCount="469">
  <si>
    <t>EBITDA</t>
  </si>
  <si>
    <t>EBIT</t>
  </si>
  <si>
    <t>Depreciation &amp; Amortisation</t>
  </si>
  <si>
    <t>Opening Balance</t>
  </si>
  <si>
    <t>Closing Balance</t>
  </si>
  <si>
    <t>EBT</t>
  </si>
  <si>
    <t>Taxes</t>
  </si>
  <si>
    <t>Balance Sheet</t>
  </si>
  <si>
    <t>Assets</t>
  </si>
  <si>
    <t>Accounts Receivables</t>
  </si>
  <si>
    <t>Accounts Payables</t>
  </si>
  <si>
    <t>Retained Earnings</t>
  </si>
  <si>
    <t>Cash</t>
  </si>
  <si>
    <t>Total Assets</t>
  </si>
  <si>
    <t>Total Liabilities</t>
  </si>
  <si>
    <t>Check</t>
  </si>
  <si>
    <t>Cash Flow Statement</t>
  </si>
  <si>
    <t>Cash Flow from Operating Activities</t>
  </si>
  <si>
    <t>Net Profit</t>
  </si>
  <si>
    <t>Add: Depreciation &amp; Amortisation</t>
  </si>
  <si>
    <t>Changes in working capital</t>
  </si>
  <si>
    <t>Change in Accounts receivables</t>
  </si>
  <si>
    <t>Change in Accounts payables</t>
  </si>
  <si>
    <t>Cash Flow from Investing Activities</t>
  </si>
  <si>
    <t>Cash Flow from Financing Activities</t>
  </si>
  <si>
    <t>Net Change in cash during the year</t>
  </si>
  <si>
    <t>Add: Opening Cash Flow</t>
  </si>
  <si>
    <t>Income Statement</t>
  </si>
  <si>
    <t>WACC</t>
  </si>
  <si>
    <t xml:space="preserve">Discounted Cash Flow </t>
  </si>
  <si>
    <t>D&amp;A</t>
  </si>
  <si>
    <t>Capex</t>
  </si>
  <si>
    <t>NWC Change</t>
  </si>
  <si>
    <t>FCF</t>
  </si>
  <si>
    <t>Factor</t>
  </si>
  <si>
    <t>Discounted FCF</t>
  </si>
  <si>
    <t>PGR</t>
  </si>
  <si>
    <t>Terminal value</t>
  </si>
  <si>
    <t>Discounted TV</t>
  </si>
  <si>
    <t>PV of CF</t>
  </si>
  <si>
    <t>EV</t>
  </si>
  <si>
    <t>Minority Interest</t>
  </si>
  <si>
    <t>Equity Value</t>
  </si>
  <si>
    <t>FCFE</t>
  </si>
  <si>
    <t>FY+1 EBITDA</t>
  </si>
  <si>
    <t>DCF</t>
  </si>
  <si>
    <t>LBO (5 year exit)</t>
  </si>
  <si>
    <t>10-12% WACC, 1.5-2.5% PGR</t>
  </si>
  <si>
    <t>14-16% CoE, 1.5-2.5% PGR</t>
  </si>
  <si>
    <t>5 Year exit, Exit Multiple = 12x, Returns: 20-25%</t>
  </si>
  <si>
    <t>Trading Comps FY+1 EBITDA</t>
  </si>
  <si>
    <t>FY1</t>
  </si>
  <si>
    <t>FY2</t>
  </si>
  <si>
    <t>EBITDA-Capex</t>
  </si>
  <si>
    <t>EBITDA-Capex / EBITDA</t>
  </si>
  <si>
    <t>ROE</t>
  </si>
  <si>
    <t>ROA</t>
  </si>
  <si>
    <t>Revenue</t>
  </si>
  <si>
    <t>R&amp;D Expense</t>
  </si>
  <si>
    <t>Selling &amp; Marketing</t>
  </si>
  <si>
    <t>G&amp;A Expense</t>
  </si>
  <si>
    <t>Operating Income</t>
  </si>
  <si>
    <t>Nonoperating Income/Expense</t>
  </si>
  <si>
    <t>Income Tax Expense</t>
  </si>
  <si>
    <t>Net Income</t>
  </si>
  <si>
    <t>EPS Basic</t>
  </si>
  <si>
    <t>EPS Diluted</t>
  </si>
  <si>
    <t>Shares Basic</t>
  </si>
  <si>
    <t>Shares Diluted</t>
  </si>
  <si>
    <t>Depreciation &amp; Amortization</t>
  </si>
  <si>
    <t>Share-Based Compensation</t>
  </si>
  <si>
    <t>FX Effects</t>
  </si>
  <si>
    <t>Cash &amp; Cash Equivalents</t>
  </si>
  <si>
    <t>Short-Term Investments</t>
  </si>
  <si>
    <t>Total Current Assets</t>
  </si>
  <si>
    <t>Long-Term Investments</t>
  </si>
  <si>
    <t>Goodwill</t>
  </si>
  <si>
    <t>Other Noncurrent Assets</t>
  </si>
  <si>
    <t>Total Current Liabilities</t>
  </si>
  <si>
    <t>Long-Term Debt</t>
  </si>
  <si>
    <t>Other Noncurrent Liabilities</t>
  </si>
  <si>
    <t>AOCI</t>
  </si>
  <si>
    <t>Total Equity</t>
  </si>
  <si>
    <t>Non Operating income / expense</t>
  </si>
  <si>
    <t>Effective Tax Rate</t>
  </si>
  <si>
    <t xml:space="preserve">Net Income </t>
  </si>
  <si>
    <t>Total Liabilities + Equity</t>
  </si>
  <si>
    <t xml:space="preserve">(+) Capex </t>
  </si>
  <si>
    <t>Add Other CashFlows From Operations</t>
  </si>
  <si>
    <t>Other CashFlows From Investing</t>
  </si>
  <si>
    <t>Upside/ downside</t>
  </si>
  <si>
    <t>Add Share Based Comp</t>
  </si>
  <si>
    <t>PPE Schedule</t>
  </si>
  <si>
    <t>Capex / Revenue</t>
  </si>
  <si>
    <t>Dec 31 2019</t>
  </si>
  <si>
    <t>Dec 31 2020</t>
  </si>
  <si>
    <t>Dec 31 2021</t>
  </si>
  <si>
    <t>Dec 31 2022</t>
  </si>
  <si>
    <t>Dec 31 2023</t>
  </si>
  <si>
    <t>Dec 31 2024</t>
  </si>
  <si>
    <t>Revenues</t>
  </si>
  <si>
    <t>Transaction Expense</t>
  </si>
  <si>
    <t>Transaction And Credit Losses</t>
  </si>
  <si>
    <t>Restructuring And Other</t>
  </si>
  <si>
    <t>Operating Expenses</t>
  </si>
  <si>
    <t>pre tax income</t>
  </si>
  <si>
    <t>Transaction and Credit Losses</t>
  </si>
  <si>
    <t>Customer Support and Ops Expense</t>
  </si>
  <si>
    <t>Customer Support And Ops Expense</t>
  </si>
  <si>
    <t>Selling and Marketing Expense</t>
  </si>
  <si>
    <t>G&amp;A Expenses</t>
  </si>
  <si>
    <t>Restructuring and Other Expenses</t>
  </si>
  <si>
    <t>2019-12-31</t>
  </si>
  <si>
    <t>2020-12-31</t>
  </si>
  <si>
    <t>2021-12-31</t>
  </si>
  <si>
    <t>2022-12-31</t>
  </si>
  <si>
    <t>2023-12-31</t>
  </si>
  <si>
    <t>2024-12-31</t>
  </si>
  <si>
    <t>Net Income / Loss</t>
  </si>
  <si>
    <t>Transaction &amp; Credit Losses</t>
  </si>
  <si>
    <t>Deferred Income Tax (Exp./Benefit)</t>
  </si>
  <si>
    <t>Gain/Loss on Investments</t>
  </si>
  <si>
    <t>Gain/Loss on Sale of Business</t>
  </si>
  <si>
    <t>Accretion/Amortization of Discounts &amp; Premiums</t>
  </si>
  <si>
    <t>Net Gain/Loss on Sales of Loans</t>
  </si>
  <si>
    <t>Other Noncash Income/Expense</t>
  </si>
  <si>
    <t>Change in Financing Receivables Held for Sale</t>
  </si>
  <si>
    <t>Proceeds from Loans Held for Sale</t>
  </si>
  <si>
    <t>Change in Accounts Receivable</t>
  </si>
  <si>
    <t>Change in Transaction Loss Allowance</t>
  </si>
  <si>
    <t>Change in Other Operating Assets</t>
  </si>
  <si>
    <t>Change in Accounts Payable</t>
  </si>
  <si>
    <t>Change in Other Operating Liabilities</t>
  </si>
  <si>
    <t>Net Cash from Operating Activities</t>
  </si>
  <si>
    <t>Payments for Securities Purchased (Repos)</t>
  </si>
  <si>
    <t>Proceeds from Securities Purchased (Repos)</t>
  </si>
  <si>
    <t>PPE Purchases</t>
  </si>
  <si>
    <t>Proceeds from Sale of PPE</t>
  </si>
  <si>
    <t>Loan Originations Paid</t>
  </si>
  <si>
    <t>Proceeds from Loans Receivable</t>
  </si>
  <si>
    <t>Investments Purchased</t>
  </si>
  <si>
    <t>Proceeds from Securities Sold/Matured</t>
  </si>
  <si>
    <t>Proceeds from Divestitures (Net)</t>
  </si>
  <si>
    <t>Change in Funds Receivable (Investing)</t>
  </si>
  <si>
    <t>Payments for Hedging/Derivative Activities</t>
  </si>
  <si>
    <t>Other Investing Activity Payments</t>
  </si>
  <si>
    <t>Net Cash from Investing Activities</t>
  </si>
  <si>
    <t>Proceeds from Securities Sold (Reverse Repos)</t>
  </si>
  <si>
    <t>Payments for Securities Sold (Reverse Repos)</t>
  </si>
  <si>
    <t>Proceeds from Common Stock Issuance</t>
  </si>
  <si>
    <t>Common Stock Repurchases</t>
  </si>
  <si>
    <t>Tax Withholding (Share-Based Comp.)</t>
  </si>
  <si>
    <t>Debt Issuance Proceeds</t>
  </si>
  <si>
    <t>Debt Repayments</t>
  </si>
  <si>
    <t>Change in Funds Payable/Customer Accounts</t>
  </si>
  <si>
    <t>Hedging/Derivative &amp; Repo Payments (Financing)</t>
  </si>
  <si>
    <t>Other Financing Activity Proceeds/Payments</t>
  </si>
  <si>
    <t>Net Cash from Financing Activities</t>
  </si>
  <si>
    <t>FX Effect on Cash &amp; Restricted Cash</t>
  </si>
  <si>
    <t>Change in Cash &amp; Restricted Cash (Incl. FX)</t>
  </si>
  <si>
    <t>Net Interest Paid</t>
  </si>
  <si>
    <t>Income Taxes Paid</t>
  </si>
  <si>
    <t>Cash &amp; Cash Equivalents (Carrying Value)</t>
  </si>
  <si>
    <t>Opening Cash &amp; Restricted Cash</t>
  </si>
  <si>
    <t>Ending Cash &amp; Restricted Cash</t>
  </si>
  <si>
    <t>Opening Restricted Cash</t>
  </si>
  <si>
    <t>Ending Restricted Cash</t>
  </si>
  <si>
    <t>Change in Loans Held for Sale</t>
  </si>
  <si>
    <t>Change in Accrued Taxes Payable</t>
  </si>
  <si>
    <t>Payments/Proceeds from Loans Receivable</t>
  </si>
  <si>
    <t>Proceeds from Marketable Securities</t>
  </si>
  <si>
    <t>Business Acquisitions (Net of Cash)</t>
  </si>
  <si>
    <t>Accounts Receivable (Current)</t>
  </si>
  <si>
    <t>Loans Receivable Held for Sale</t>
  </si>
  <si>
    <t>Notes &amp; Loans Receivable (Current)</t>
  </si>
  <si>
    <t>Customer Funds Receivable</t>
  </si>
  <si>
    <t>Prepaid Expenses &amp; Other Current Assets</t>
  </si>
  <si>
    <t>PPE &amp; Leased Assets (Net)</t>
  </si>
  <si>
    <t>Finite-Lived Intangible Assets</t>
  </si>
  <si>
    <t>Accounts Payable (Current)</t>
  </si>
  <si>
    <t>Customer Funds Payable</t>
  </si>
  <si>
    <t>Accrued Liabilities (Current)</t>
  </si>
  <si>
    <t>Common Stock</t>
  </si>
  <si>
    <t>Treasury Stock (Common)</t>
  </si>
  <si>
    <t>Additional Paid-In Capital</t>
  </si>
  <si>
    <t>Retained Earnings / Accumulated Deficit</t>
  </si>
  <si>
    <t>Accumulated Other Comprehensive Income (Net of Tax)</t>
  </si>
  <si>
    <t>Stockholders Equity</t>
  </si>
  <si>
    <t>Taxes Payable (Current)</t>
  </si>
  <si>
    <t>Total Equity Including Noncontrolling Interest</t>
  </si>
  <si>
    <t>Others</t>
  </si>
  <si>
    <t>Total liabilities</t>
  </si>
  <si>
    <t>Target Price</t>
  </si>
  <si>
    <t>PPE and Leased Assefts (Net)</t>
  </si>
  <si>
    <t>(YE 31-Dec, USD Thousands)</t>
  </si>
  <si>
    <t>Cost of Equity</t>
  </si>
  <si>
    <t>Share Price</t>
  </si>
  <si>
    <t>PAYPAL HOLDINGS INC. (PYPL)</t>
  </si>
  <si>
    <t>Transactuon loss alowance for cash losses</t>
  </si>
  <si>
    <t>Short term Investments</t>
  </si>
  <si>
    <t>Ending Cash + ST and Funds Receivable</t>
  </si>
  <si>
    <t>Cash and Cash Equivalent</t>
  </si>
  <si>
    <t>Originations of loan receivables, held for sale</t>
  </si>
  <si>
    <t>Proceed from repayments and sales of loans receivable, originally classified as held for sale</t>
  </si>
  <si>
    <t>Purchases of PPE</t>
  </si>
  <si>
    <t>Purchases of Investments</t>
  </si>
  <si>
    <t>Net Change in cash after FX Effects</t>
  </si>
  <si>
    <t>Loans and Interest Receivable, Held for sale</t>
  </si>
  <si>
    <t>Loans and Interest Receivable, Net of Alllowances of  $539 and $461 as of December 31, 2025 and 2024,
respectively</t>
  </si>
  <si>
    <t xml:space="preserve">Funds receivable and customer accounts </t>
  </si>
  <si>
    <t xml:space="preserve">Long term investments </t>
  </si>
  <si>
    <t>Other Assets</t>
  </si>
  <si>
    <t>Liabilities + Equity</t>
  </si>
  <si>
    <t>Funds Payable and amounts due to customers</t>
  </si>
  <si>
    <t>Long term debt</t>
  </si>
  <si>
    <t>Other Liabilities</t>
  </si>
  <si>
    <t>Other Adjustments</t>
  </si>
  <si>
    <t>WACC Calculations</t>
  </si>
  <si>
    <t>SYNTHETIC TABLE</t>
  </si>
  <si>
    <t>Interest coverage</t>
  </si>
  <si>
    <t>Spread</t>
  </si>
  <si>
    <t>Share Count</t>
  </si>
  <si>
    <t>&gt;8.5</t>
  </si>
  <si>
    <t>6.50 - 8.50</t>
  </si>
  <si>
    <t>5.50 - 6.49</t>
  </si>
  <si>
    <t>4.25 - 5.49</t>
  </si>
  <si>
    <t>3.00 - 4.24</t>
  </si>
  <si>
    <t>2.50 - 2.99</t>
  </si>
  <si>
    <t>2.25 - 2.49</t>
  </si>
  <si>
    <t>Enterprise Debt</t>
  </si>
  <si>
    <t>2.00 - 2.24</t>
  </si>
  <si>
    <t>1.75 - 1.99</t>
  </si>
  <si>
    <t>Total Debt-like Items</t>
  </si>
  <si>
    <t>1.50 - 1.74</t>
  </si>
  <si>
    <t>1.25 - 1.49</t>
  </si>
  <si>
    <t>Ten Year Bond Yield</t>
  </si>
  <si>
    <t>0.80 - 1.24</t>
  </si>
  <si>
    <t>Damodaran's US Default Spread</t>
  </si>
  <si>
    <t>0.65 - 0.79</t>
  </si>
  <si>
    <t>Risk Free Rate</t>
  </si>
  <si>
    <t>0.20 - 0.64</t>
  </si>
  <si>
    <t>&lt;0.2</t>
  </si>
  <si>
    <t xml:space="preserve">Lambda </t>
  </si>
  <si>
    <t>Country Risk Premium</t>
  </si>
  <si>
    <t>Mature Market ERP</t>
  </si>
  <si>
    <t>Total ERP</t>
  </si>
  <si>
    <t>Interest Expense</t>
  </si>
  <si>
    <t>EBIT/Interest</t>
  </si>
  <si>
    <t>Debt to Equity</t>
  </si>
  <si>
    <t>Unlevered Average Beta - Broad PeerList</t>
  </si>
  <si>
    <t>Company Default Spread</t>
  </si>
  <si>
    <t>useDamodaranBeta - True, False</t>
  </si>
  <si>
    <t>Current Beta</t>
  </si>
  <si>
    <t>Tax Rate</t>
  </si>
  <si>
    <t>Levered Beta</t>
  </si>
  <si>
    <t>useSyntheticTable - True, False</t>
  </si>
  <si>
    <t>Pre tax Cost of Debt - YTM Approach</t>
  </si>
  <si>
    <t>Pretax Cost of Debt - Sythetic Table Approach</t>
  </si>
  <si>
    <t>Pre tax Cost of Debt Used</t>
  </si>
  <si>
    <t>Period</t>
  </si>
  <si>
    <t>Mid Year Discount Period</t>
  </si>
  <si>
    <t>NOPAT</t>
  </si>
  <si>
    <t>FCF Growth Rate</t>
  </si>
  <si>
    <t>Capex Growth Rate</t>
  </si>
  <si>
    <t>NOPAT Growth Rate</t>
  </si>
  <si>
    <t>NOPAT CAGR</t>
  </si>
  <si>
    <t>FCF CAGR</t>
  </si>
  <si>
    <t>EBIT CAGR</t>
  </si>
  <si>
    <t>Accounts Recivable Days</t>
  </si>
  <si>
    <t>Accounts Payable Days</t>
  </si>
  <si>
    <t>Damodaran's Unlevered Beta - Financial Services (non-bank &amp; Insurance)</t>
  </si>
  <si>
    <t>TPV</t>
  </si>
  <si>
    <t>Transaction Revenues</t>
  </si>
  <si>
    <t>Revenues From other value added services</t>
  </si>
  <si>
    <t>Total Revenue</t>
  </si>
  <si>
    <t>Revenue Build</t>
  </si>
  <si>
    <t xml:space="preserve">Number of payment transactions </t>
  </si>
  <si>
    <t>Transaction Revenue per Account</t>
  </si>
  <si>
    <t>Average no of Payment transactions per Account</t>
  </si>
  <si>
    <t>Average payment value per payment transaction</t>
  </si>
  <si>
    <t>Transaction Revenue per payment transaction</t>
  </si>
  <si>
    <t>Average Payment value  per Account</t>
  </si>
  <si>
    <t>Growth %</t>
  </si>
  <si>
    <t>Metric</t>
  </si>
  <si>
    <t>2Q'22</t>
  </si>
  <si>
    <t>3Q'22</t>
  </si>
  <si>
    <t>4Q'22</t>
  </si>
  <si>
    <t>1Q'23</t>
  </si>
  <si>
    <t>2Q'23</t>
  </si>
  <si>
    <t>3Q'23</t>
  </si>
  <si>
    <t>4Q'23</t>
  </si>
  <si>
    <t>1Q'24</t>
  </si>
  <si>
    <t>2Q'24</t>
  </si>
  <si>
    <t>3Q'24</t>
  </si>
  <si>
    <t>4Q'24</t>
  </si>
  <si>
    <t>1Q'25</t>
  </si>
  <si>
    <t>2Q'25</t>
  </si>
  <si>
    <t>3Q'25</t>
  </si>
  <si>
    <t>4Q'25</t>
  </si>
  <si>
    <t>1Q'26</t>
  </si>
  <si>
    <t>2Q'26</t>
  </si>
  <si>
    <t>Active accounts</t>
  </si>
  <si>
    <t>Number of payment transactions</t>
  </si>
  <si>
    <t>Payment transactions per active account (TPA, TTM)</t>
  </si>
  <si>
    <t>Total Payment Volume (TPV)</t>
  </si>
  <si>
    <t>Transaction revenue</t>
  </si>
  <si>
    <t>Revenues from other value added services (OVAS)</t>
  </si>
  <si>
    <t>Transaction Expense Rate (co.-reported)</t>
  </si>
  <si>
    <t>Transaction and Credit Loss Rate (co.-reported)</t>
  </si>
  <si>
    <t>Transaction Margin (co.-reported, non-GAAP)</t>
  </si>
  <si>
    <t>TTM</t>
  </si>
  <si>
    <t>Revenue build Implications</t>
  </si>
  <si>
    <t xml:space="preserve">Diff btn Rates </t>
  </si>
  <si>
    <t>Q2</t>
  </si>
  <si>
    <t>Funds Receivable and Customer Accounts</t>
  </si>
  <si>
    <t>Net loan receivables, held for sale</t>
  </si>
  <si>
    <t>Net loan receivables % of Revenue</t>
  </si>
  <si>
    <t>Existing PPE Lifetime</t>
  </si>
  <si>
    <t>New Capex Lifetime</t>
  </si>
  <si>
    <t>Existing Depreciation</t>
  </si>
  <si>
    <t>Total Depreciation</t>
  </si>
  <si>
    <t>Advertising Agencies</t>
  </si>
  <si>
    <t>United States</t>
  </si>
  <si>
    <t>Cardlytics, Inc.</t>
  </si>
  <si>
    <t>CDLX</t>
  </si>
  <si>
    <t>Software - Infrastructure</t>
  </si>
  <si>
    <t>France</t>
  </si>
  <si>
    <t>Worldline SA</t>
  </si>
  <si>
    <t>WLN.PA</t>
  </si>
  <si>
    <t>Marqeta, Inc.</t>
  </si>
  <si>
    <t>MQ</t>
  </si>
  <si>
    <t>EVERTEC, Inc.</t>
  </si>
  <si>
    <t>EVTC</t>
  </si>
  <si>
    <t>Credit Services</t>
  </si>
  <si>
    <t>The Western Union Company</t>
  </si>
  <si>
    <t>WU</t>
  </si>
  <si>
    <t>Flywire Corporation</t>
  </si>
  <si>
    <t>FLYW</t>
  </si>
  <si>
    <t>Brazil</t>
  </si>
  <si>
    <t>PagSeguro Digital Ltd.</t>
  </si>
  <si>
    <t>PAGS</t>
  </si>
  <si>
    <t>Euronet Worldwide, Inc.</t>
  </si>
  <si>
    <t>EEFT</t>
  </si>
  <si>
    <t>Upstart Holdings, Inc.</t>
  </si>
  <si>
    <t>UPST</t>
  </si>
  <si>
    <t>Australia</t>
  </si>
  <si>
    <t>Zip Co Limited</t>
  </si>
  <si>
    <t>ZIP.AX</t>
  </si>
  <si>
    <t>Shift4 Payments, Inc.</t>
  </si>
  <si>
    <t>FOUR</t>
  </si>
  <si>
    <t>Sezzle Inc.</t>
  </si>
  <si>
    <t>SEZL</t>
  </si>
  <si>
    <t>Bread Financial Holdings, Inc.</t>
  </si>
  <si>
    <t>BFH</t>
  </si>
  <si>
    <t>Software - Application</t>
  </si>
  <si>
    <t>BILL Holdings, Inc.</t>
  </si>
  <si>
    <t>BILL</t>
  </si>
  <si>
    <t>Italy</t>
  </si>
  <si>
    <t>Nexi S.p.A.</t>
  </si>
  <si>
    <t>NEXI.MI</t>
  </si>
  <si>
    <t>Paymentus Holdings, Inc.</t>
  </si>
  <si>
    <t>PAY</t>
  </si>
  <si>
    <t>Remitly Global, Inc.</t>
  </si>
  <si>
    <t>RELY</t>
  </si>
  <si>
    <t>WEX Inc.</t>
  </si>
  <si>
    <t>WEX</t>
  </si>
  <si>
    <t>Information Technology Services</t>
  </si>
  <si>
    <t>United Kingdom</t>
  </si>
  <si>
    <t>Wise Group plc</t>
  </si>
  <si>
    <t>WISE.L</t>
  </si>
  <si>
    <t>Jack Henry &amp; Associates, Inc.</t>
  </si>
  <si>
    <t>JKHY</t>
  </si>
  <si>
    <t>Ally Financial Inc.</t>
  </si>
  <si>
    <t>ALLY</t>
  </si>
  <si>
    <t>Singapore</t>
  </si>
  <si>
    <t>Grab Holdings Limited</t>
  </si>
  <si>
    <t>GRAB</t>
  </si>
  <si>
    <t>Fidelity National Information Services, Inc.</t>
  </si>
  <si>
    <t>FIS</t>
  </si>
  <si>
    <t>SoFi Technologies, Inc.</t>
  </si>
  <si>
    <t>SOFI</t>
  </si>
  <si>
    <t>Affirm Holdings, Inc.</t>
  </si>
  <si>
    <t>AFRM</t>
  </si>
  <si>
    <t>Synchrony Financial</t>
  </si>
  <si>
    <t>SYF</t>
  </si>
  <si>
    <t>Corpay, Inc.</t>
  </si>
  <si>
    <t>CPAY</t>
  </si>
  <si>
    <t>Netherlands</t>
  </si>
  <si>
    <t>Adyen N.V.</t>
  </si>
  <si>
    <t>ADYEN.AS</t>
  </si>
  <si>
    <t>Financial Data &amp; Stock Exchanges</t>
  </si>
  <si>
    <t>Coinbase Global, Inc.</t>
  </si>
  <si>
    <t>COIN</t>
  </si>
  <si>
    <t>Banks - Regional</t>
  </si>
  <si>
    <t>Nu Holdings Ltd.</t>
  </si>
  <si>
    <t>NU</t>
  </si>
  <si>
    <t>Internet Retail</t>
  </si>
  <si>
    <t>Sea Limited</t>
  </si>
  <si>
    <t>SE</t>
  </si>
  <si>
    <t>Capital Markets</t>
  </si>
  <si>
    <t>Robinhood Markets, Inc.</t>
  </si>
  <si>
    <t>HOOD</t>
  </si>
  <si>
    <t>Automatic Data Processing, Inc.</t>
  </si>
  <si>
    <t>ADP</t>
  </si>
  <si>
    <t>American Express Company</t>
  </si>
  <si>
    <t>AXP</t>
  </si>
  <si>
    <t>Mastercard Incorporated</t>
  </si>
  <si>
    <t>MA</t>
  </si>
  <si>
    <t>Visa Inc.</t>
  </si>
  <si>
    <t>V</t>
  </si>
  <si>
    <t>India</t>
  </si>
  <si>
    <t>One97 Communications Limited</t>
  </si>
  <si>
    <t>PAYTM.NS</t>
  </si>
  <si>
    <t>China</t>
  </si>
  <si>
    <t>Alibaba Group Holding Limited</t>
  </si>
  <si>
    <t>9988.HK</t>
  </si>
  <si>
    <t>Amazon.com, Inc.</t>
  </si>
  <si>
    <t>AMZN</t>
  </si>
  <si>
    <t>Internet Content &amp; Information</t>
  </si>
  <si>
    <t>Tencent Holdings Limited</t>
  </si>
  <si>
    <t>0700.HK</t>
  </si>
  <si>
    <t>Alphabet Inc.</t>
  </si>
  <si>
    <t>GOOGL</t>
  </si>
  <si>
    <t>Telecom Services</t>
  </si>
  <si>
    <t>Japan</t>
  </si>
  <si>
    <t>SoftBank Group Corp.</t>
  </si>
  <si>
    <t>9984.T</t>
  </si>
  <si>
    <t>Industry</t>
  </si>
  <si>
    <t>Country</t>
  </si>
  <si>
    <t>Beta</t>
  </si>
  <si>
    <t>Total Debt</t>
  </si>
  <si>
    <t>Market Cap</t>
  </si>
  <si>
    <t>Company</t>
  </si>
  <si>
    <t>Ticker</t>
  </si>
  <si>
    <t>Unlevered Beta</t>
  </si>
  <si>
    <t>Equity</t>
  </si>
  <si>
    <t>Reinvested Capital</t>
  </si>
  <si>
    <t>ROIC</t>
  </si>
  <si>
    <t>Transactuon loss alowance for cash losses % of Rev</t>
  </si>
  <si>
    <t>Net purchases and proceeds of loan receivables</t>
  </si>
  <si>
    <t>Net loan receivables, held for Investments</t>
  </si>
  <si>
    <t>Net Change in Other assets and Liabilities (incl Funds receivable and Payables)</t>
  </si>
  <si>
    <t>Funds receivable and customer accounts/ ReV</t>
  </si>
  <si>
    <t>Funds Payable and amounts due to customer / Rev</t>
  </si>
  <si>
    <t>Capex - PPE</t>
  </si>
  <si>
    <t>D&amp;A Growth Rate</t>
  </si>
  <si>
    <t>Latest Closing Price</t>
  </si>
  <si>
    <t>Transaction Revenue as % of TPV - take rate</t>
  </si>
  <si>
    <t>Revenues From other value added services % of TPV</t>
  </si>
  <si>
    <t>Historical</t>
  </si>
  <si>
    <t>N/A</t>
  </si>
  <si>
    <t>Forecast</t>
  </si>
  <si>
    <t>Total net revenues (Transaction rev + OVAS)</t>
  </si>
  <si>
    <t>Transaction take rate (Transaction revenue / TPV)</t>
  </si>
  <si>
    <t>Total take rate (Total revenue / TPV)</t>
  </si>
  <si>
    <t>(-) Depreciation</t>
  </si>
  <si>
    <t>Operating Model - PYPL</t>
  </si>
  <si>
    <t>Active Accounts - for reference</t>
  </si>
  <si>
    <t>Number of Payment transactions Growth %</t>
  </si>
  <si>
    <t>Transaction Revenues Growth %</t>
  </si>
  <si>
    <t>Beta Array</t>
  </si>
  <si>
    <t>Transaction Expense % of Rev</t>
  </si>
  <si>
    <t>Transaction and Credit Losses % of Rev</t>
  </si>
  <si>
    <t>Customer Support and Ops Expense% of Rev</t>
  </si>
  <si>
    <t>Selling and Marketing Expense% of Rev</t>
  </si>
  <si>
    <t>R&amp;D Expense% of Rev</t>
  </si>
  <si>
    <t>G&amp;A Expenses% of Rev</t>
  </si>
  <si>
    <t>Restructuring and Other Expenses% of Rev</t>
  </si>
  <si>
    <t>Net purchases and proceeds of loan receivables % of 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</si>
</sst>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43" formatCode="_(* #,##0.00_);_(* \(#,##0.00\);_(* &quot;-&quot;??_);_(@_)"/>
    <numFmt numFmtId="164" formatCode="#,##0;\(#,##0\);\-\-"/>
    <numFmt numFmtId="165" formatCode="0&quot;A&quot;"/>
    <numFmt numFmtId="166" formatCode="0&quot;E&quot;"/>
    <numFmt numFmtId="167" formatCode="#,##0.0;\(#,##0.0\);\-\-"/>
    <numFmt numFmtId="168" formatCode="#,##0.0"/>
    <numFmt numFmtId="169" formatCode="0.0%"/>
    <numFmt numFmtId="170" formatCode="0.0\x"/>
    <numFmt numFmtId="171" formatCode="[$$-409]#,##0.00"/>
    <numFmt numFmtId="172" formatCode="[$$-409]#,##0.00_);\([$$-409]#,##0.00\)"/>
    <numFmt numFmtId="173" formatCode="#,##0.0000;\(#,##0.0000\);\-\-"/>
    <numFmt numFmtId="174" formatCode="#,###.00;\(#,###.00\);\-\-"/>
    <numFmt numFmtId="175" formatCode="0.0000"/>
    <numFmt numFmtId="176" formatCode="##,##0.0000;\(##,##0.0000\);\-\-"/>
    <numFmt numFmtId="177" formatCode="##,##0.00;\(##,##0.00\);\-\-"/>
    <numFmt numFmtId="178" formatCode="#,##0;\(#,##0\);\-"/>
    <numFmt numFmtId="179" formatCode="#,##0.0;\(#,##0.0\);\-"/>
    <numFmt numFmtId="180" formatCode="\$#,##0;&quot;($&quot;#,##0\);\-"/>
    <numFmt numFmtId="181" formatCode="0.00%;\(0.00%\);\-"/>
    <numFmt numFmtId="182" formatCode="0.0%;\(0.0%\);\-"/>
    <numFmt numFmtId="183" formatCode="#,##0.00;\(#,##0.00\);\-\-"/>
    <numFmt numFmtId="184" formatCode="0.0"/>
    <numFmt numFmtId="185" formatCode="#,##0.0_);\(#,##0.0\)"/>
    <numFmt numFmtId="186" formatCode="#\ &quot;Years&quot;"/>
  </numFmts>
  <fonts count="4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rgb="FFFF0000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sz val="10"/>
      <color theme="3" tint="-0.499984740745262"/>
      <name val="Arial"/>
      <family val="2"/>
    </font>
    <font>
      <b/>
      <sz val="11"/>
      <name val="Calibri"/>
      <family val="2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0"/>
      <color rgb="FF0070C0"/>
      <name val="Arial"/>
      <family val="2"/>
    </font>
    <font>
      <i/>
      <sz val="10"/>
      <color rgb="FF0070C0"/>
      <name val="Arial"/>
      <family val="2"/>
    </font>
    <font>
      <b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i/>
      <sz val="10"/>
      <color rgb="FF0000FF"/>
      <name val="Arial"/>
      <family val="2"/>
    </font>
    <font>
      <b/>
      <i/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thin">
        <color theme="0"/>
      </left>
      <right style="dashed">
        <color theme="0" tint="-0.14996795556505021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6">
    <xf numFmtId="0" fontId="0" fillId="0" borderId="0"/>
    <xf numFmtId="9" fontId="6" fillId="0" borderId="0" applyFont="0" applyFill="0" applyBorder="0" applyAlignment="0" applyProtection="0"/>
    <xf numFmtId="0" fontId="1" fillId="0" borderId="0"/>
    <xf numFmtId="43" fontId="6" fillId="0" borderId="0" applyFont="0" applyFill="0" applyBorder="0" applyAlignment="0" applyProtection="0"/>
    <xf numFmtId="0" fontId="6" fillId="6" borderId="0" applyNumberFormat="0" applyBorder="0" applyAlignment="0" applyProtection="0"/>
    <xf numFmtId="0" fontId="36" fillId="0" borderId="0"/>
  </cellStyleXfs>
  <cellXfs count="213">
    <xf numFmtId="0" fontId="0" fillId="0" borderId="0" xfId="0"/>
    <xf numFmtId="0" fontId="7" fillId="0" borderId="0" xfId="0" applyFont="1"/>
    <xf numFmtId="164" fontId="7" fillId="0" borderId="0" xfId="0" applyNumberFormat="1" applyFont="1"/>
    <xf numFmtId="165" fontId="7" fillId="0" borderId="0" xfId="0" applyNumberFormat="1" applyFont="1"/>
    <xf numFmtId="166" fontId="7" fillId="0" borderId="0" xfId="0" applyNumberFormat="1" applyFont="1"/>
    <xf numFmtId="164" fontId="8" fillId="0" borderId="0" xfId="0" applyNumberFormat="1" applyFont="1"/>
    <xf numFmtId="167" fontId="7" fillId="0" borderId="0" xfId="0" applyNumberFormat="1" applyFont="1"/>
    <xf numFmtId="167" fontId="8" fillId="0" borderId="0" xfId="0" applyNumberFormat="1" applyFont="1"/>
    <xf numFmtId="9" fontId="8" fillId="0" borderId="0" xfId="0" applyNumberFormat="1" applyFont="1"/>
    <xf numFmtId="164" fontId="7" fillId="0" borderId="0" xfId="0" applyNumberFormat="1" applyFont="1" applyAlignment="1">
      <alignment horizontal="left" indent="1"/>
    </xf>
    <xf numFmtId="164" fontId="8" fillId="0" borderId="0" xfId="0" applyNumberFormat="1" applyFont="1" applyAlignment="1">
      <alignment horizontal="left" indent="1"/>
    </xf>
    <xf numFmtId="164" fontId="7" fillId="0" borderId="0" xfId="0" applyNumberFormat="1" applyFont="1" applyAlignment="1">
      <alignment horizontal="left" indent="2"/>
    </xf>
    <xf numFmtId="164" fontId="8" fillId="0" borderId="0" xfId="0" applyNumberFormat="1" applyFont="1" applyAlignment="1">
      <alignment horizontal="left" indent="2"/>
    </xf>
    <xf numFmtId="164" fontId="9" fillId="0" borderId="0" xfId="0" applyNumberFormat="1" applyFont="1"/>
    <xf numFmtId="167" fontId="9" fillId="0" borderId="0" xfId="0" applyNumberFormat="1" applyFont="1"/>
    <xf numFmtId="164" fontId="7" fillId="0" borderId="0" xfId="0" applyNumberFormat="1" applyFont="1" applyAlignment="1">
      <alignment horizontal="left"/>
    </xf>
    <xf numFmtId="164" fontId="9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9" fillId="0" borderId="1" xfId="0" applyNumberFormat="1" applyFont="1" applyBorder="1" applyAlignment="1">
      <alignment horizontal="left"/>
    </xf>
    <xf numFmtId="167" fontId="9" fillId="0" borderId="1" xfId="0" applyNumberFormat="1" applyFont="1" applyBorder="1"/>
    <xf numFmtId="164" fontId="9" fillId="4" borderId="0" xfId="0" applyNumberFormat="1" applyFont="1" applyFill="1"/>
    <xf numFmtId="164" fontId="7" fillId="0" borderId="1" xfId="0" applyNumberFormat="1" applyFont="1" applyBorder="1" applyAlignment="1">
      <alignment horizontal="left"/>
    </xf>
    <xf numFmtId="164" fontId="10" fillId="0" borderId="0" xfId="0" applyNumberFormat="1" applyFont="1"/>
    <xf numFmtId="164" fontId="10" fillId="0" borderId="0" xfId="0" applyNumberFormat="1" applyFont="1" applyAlignment="1">
      <alignment horizontal="left" indent="2"/>
    </xf>
    <xf numFmtId="167" fontId="10" fillId="0" borderId="0" xfId="0" applyNumberFormat="1" applyFont="1"/>
    <xf numFmtId="165" fontId="7" fillId="0" borderId="4" xfId="0" applyNumberFormat="1" applyFont="1" applyBorder="1"/>
    <xf numFmtId="167" fontId="7" fillId="0" borderId="4" xfId="0" applyNumberFormat="1" applyFont="1" applyBorder="1"/>
    <xf numFmtId="167" fontId="9" fillId="0" borderId="4" xfId="0" applyNumberFormat="1" applyFont="1" applyBorder="1"/>
    <xf numFmtId="164" fontId="9" fillId="0" borderId="2" xfId="0" applyNumberFormat="1" applyFont="1" applyBorder="1"/>
    <xf numFmtId="167" fontId="9" fillId="0" borderId="2" xfId="0" applyNumberFormat="1" applyFont="1" applyBorder="1"/>
    <xf numFmtId="167" fontId="9" fillId="4" borderId="0" xfId="0" applyNumberFormat="1" applyFont="1" applyFill="1"/>
    <xf numFmtId="167" fontId="9" fillId="4" borderId="4" xfId="0" applyNumberFormat="1" applyFont="1" applyFill="1" applyBorder="1"/>
    <xf numFmtId="164" fontId="9" fillId="4" borderId="1" xfId="0" applyNumberFormat="1" applyFont="1" applyFill="1" applyBorder="1" applyAlignment="1">
      <alignment horizontal="left"/>
    </xf>
    <xf numFmtId="167" fontId="9" fillId="4" borderId="1" xfId="0" applyNumberFormat="1" applyFont="1" applyFill="1" applyBorder="1"/>
    <xf numFmtId="167" fontId="9" fillId="0" borderId="7" xfId="0" applyNumberFormat="1" applyFont="1" applyBorder="1"/>
    <xf numFmtId="169" fontId="7" fillId="0" borderId="0" xfId="0" applyNumberFormat="1" applyFont="1"/>
    <xf numFmtId="0" fontId="3" fillId="3" borderId="0" xfId="0" applyFont="1" applyFill="1"/>
    <xf numFmtId="0" fontId="2" fillId="3" borderId="0" xfId="0" applyFont="1" applyFill="1"/>
    <xf numFmtId="0" fontId="2" fillId="3" borderId="7" xfId="0" applyFont="1" applyFill="1" applyBorder="1"/>
    <xf numFmtId="0" fontId="4" fillId="3" borderId="0" xfId="0" applyFont="1" applyFill="1"/>
    <xf numFmtId="170" fontId="7" fillId="0" borderId="0" xfId="0" applyNumberFormat="1" applyFont="1"/>
    <xf numFmtId="168" fontId="7" fillId="0" borderId="0" xfId="0" applyNumberFormat="1" applyFont="1"/>
    <xf numFmtId="0" fontId="7" fillId="0" borderId="0" xfId="0" applyFont="1" applyAlignment="1">
      <alignment horizontal="left"/>
    </xf>
    <xf numFmtId="169" fontId="7" fillId="0" borderId="0" xfId="1" applyNumberFormat="1" applyFont="1"/>
    <xf numFmtId="10" fontId="7" fillId="0" borderId="0" xfId="1" applyNumberFormat="1" applyFont="1"/>
    <xf numFmtId="0" fontId="16" fillId="0" borderId="8" xfId="0" applyFont="1" applyBorder="1" applyAlignment="1">
      <alignment horizontal="center" vertical="top"/>
    </xf>
    <xf numFmtId="0" fontId="3" fillId="0" borderId="0" xfId="0" applyFont="1" applyBorder="1" applyAlignment="1">
      <alignment horizontal="left" vertical="top" indent="1"/>
    </xf>
    <xf numFmtId="167" fontId="7" fillId="0" borderId="0" xfId="0" applyNumberFormat="1" applyFont="1" applyBorder="1"/>
    <xf numFmtId="164" fontId="9" fillId="0" borderId="0" xfId="0" applyNumberFormat="1" applyFont="1" applyBorder="1"/>
    <xf numFmtId="167" fontId="9" fillId="0" borderId="0" xfId="0" applyNumberFormat="1" applyFont="1" applyBorder="1"/>
    <xf numFmtId="164" fontId="11" fillId="0" borderId="0" xfId="0" applyNumberFormat="1" applyFont="1"/>
    <xf numFmtId="0" fontId="19" fillId="0" borderId="8" xfId="0" applyFont="1" applyBorder="1" applyAlignment="1">
      <alignment horizontal="center" vertical="top"/>
    </xf>
    <xf numFmtId="0" fontId="18" fillId="0" borderId="0" xfId="0" applyFont="1"/>
    <xf numFmtId="167" fontId="11" fillId="0" borderId="0" xfId="0" applyNumberFormat="1" applyFont="1"/>
    <xf numFmtId="0" fontId="11" fillId="3" borderId="0" xfId="0" applyFont="1" applyFill="1"/>
    <xf numFmtId="0" fontId="18" fillId="3" borderId="0" xfId="0" applyFont="1" applyFill="1"/>
    <xf numFmtId="14" fontId="16" fillId="0" borderId="8" xfId="0" applyNumberFormat="1" applyFont="1" applyBorder="1" applyAlignment="1">
      <alignment horizontal="center" vertical="top"/>
    </xf>
    <xf numFmtId="172" fontId="17" fillId="5" borderId="9" xfId="3" applyNumberFormat="1" applyFont="1" applyFill="1" applyBorder="1" applyAlignment="1">
      <alignment horizontal="center"/>
    </xf>
    <xf numFmtId="9" fontId="17" fillId="5" borderId="9" xfId="1" applyFont="1" applyFill="1" applyBorder="1" applyAlignment="1">
      <alignment horizontal="center"/>
    </xf>
    <xf numFmtId="164" fontId="13" fillId="8" borderId="0" xfId="0" applyNumberFormat="1" applyFont="1" applyFill="1"/>
    <xf numFmtId="164" fontId="12" fillId="8" borderId="0" xfId="0" applyNumberFormat="1" applyFont="1" applyFill="1"/>
    <xf numFmtId="165" fontId="13" fillId="8" borderId="3" xfId="0" applyNumberFormat="1" applyFont="1" applyFill="1" applyBorder="1"/>
    <xf numFmtId="165" fontId="13" fillId="8" borderId="5" xfId="0" applyNumberFormat="1" applyFont="1" applyFill="1" applyBorder="1"/>
    <xf numFmtId="165" fontId="13" fillId="8" borderId="6" xfId="0" applyNumberFormat="1" applyFont="1" applyFill="1" applyBorder="1"/>
    <xf numFmtId="164" fontId="12" fillId="8" borderId="3" xfId="0" applyNumberFormat="1" applyFont="1" applyFill="1" applyBorder="1"/>
    <xf numFmtId="0" fontId="13" fillId="8" borderId="0" xfId="0" applyFont="1" applyFill="1"/>
    <xf numFmtId="0" fontId="11" fillId="8" borderId="0" xfId="0" applyFont="1" applyFill="1"/>
    <xf numFmtId="166" fontId="13" fillId="9" borderId="3" xfId="0" applyNumberFormat="1" applyFont="1" applyFill="1" applyBorder="1"/>
    <xf numFmtId="166" fontId="13" fillId="8" borderId="3" xfId="0" applyNumberFormat="1" applyFont="1" applyFill="1" applyBorder="1"/>
    <xf numFmtId="164" fontId="14" fillId="8" borderId="0" xfId="0" applyNumberFormat="1" applyFont="1" applyFill="1"/>
    <xf numFmtId="165" fontId="12" fillId="8" borderId="3" xfId="0" applyNumberFormat="1" applyFont="1" applyFill="1" applyBorder="1"/>
    <xf numFmtId="167" fontId="6" fillId="6" borderId="0" xfId="4" applyNumberFormat="1"/>
    <xf numFmtId="173" fontId="8" fillId="0" borderId="0" xfId="0" applyNumberFormat="1" applyFont="1"/>
    <xf numFmtId="167" fontId="20" fillId="0" borderId="0" xfId="0" applyNumberFormat="1" applyFont="1"/>
    <xf numFmtId="167" fontId="21" fillId="0" borderId="0" xfId="0" applyNumberFormat="1" applyFont="1"/>
    <xf numFmtId="167" fontId="22" fillId="0" borderId="0" xfId="0" applyNumberFormat="1" applyFont="1"/>
    <xf numFmtId="164" fontId="23" fillId="0" borderId="0" xfId="0" applyNumberFormat="1" applyFont="1"/>
    <xf numFmtId="9" fontId="23" fillId="0" borderId="0" xfId="0" applyNumberFormat="1" applyFont="1"/>
    <xf numFmtId="167" fontId="23" fillId="0" borderId="0" xfId="0" applyNumberFormat="1" applyFont="1"/>
    <xf numFmtId="167" fontId="0" fillId="6" borderId="0" xfId="4" applyNumberFormat="1" applyFont="1"/>
    <xf numFmtId="167" fontId="3" fillId="0" borderId="0" xfId="0" applyNumberFormat="1" applyFont="1"/>
    <xf numFmtId="167" fontId="26" fillId="4" borderId="1" xfId="0" applyNumberFormat="1" applyFont="1" applyFill="1" applyBorder="1"/>
    <xf numFmtId="164" fontId="7" fillId="0" borderId="0" xfId="0" applyNumberFormat="1" applyFont="1" applyBorder="1" applyAlignment="1">
      <alignment horizontal="left"/>
    </xf>
    <xf numFmtId="167" fontId="27" fillId="0" borderId="0" xfId="0" applyNumberFormat="1" applyFont="1"/>
    <xf numFmtId="0" fontId="0" fillId="0" borderId="0" xfId="0" applyNumberFormat="1"/>
    <xf numFmtId="0" fontId="28" fillId="0" borderId="0" xfId="0" applyNumberFormat="1" applyFont="1"/>
    <xf numFmtId="174" fontId="29" fillId="0" borderId="0" xfId="0" applyNumberFormat="1" applyFont="1"/>
    <xf numFmtId="0" fontId="0" fillId="0" borderId="0" xfId="0" applyBorder="1" applyAlignment="1">
      <alignment horizontal="center"/>
    </xf>
    <xf numFmtId="10" fontId="29" fillId="0" borderId="0" xfId="0" applyNumberFormat="1" applyFont="1" applyFill="1" applyBorder="1" applyAlignment="1">
      <alignment horizontal="center"/>
    </xf>
    <xf numFmtId="174" fontId="6" fillId="0" borderId="0" xfId="0" applyNumberFormat="1" applyFont="1"/>
    <xf numFmtId="174" fontId="30" fillId="0" borderId="0" xfId="0" applyNumberFormat="1" applyFont="1"/>
    <xf numFmtId="174" fontId="31" fillId="0" borderId="0" xfId="0" applyNumberFormat="1" applyFont="1"/>
    <xf numFmtId="10" fontId="28" fillId="0" borderId="0" xfId="0" applyNumberFormat="1" applyFont="1"/>
    <xf numFmtId="0" fontId="0" fillId="0" borderId="2" xfId="0" applyNumberFormat="1" applyBorder="1"/>
    <xf numFmtId="10" fontId="0" fillId="0" borderId="2" xfId="0" applyNumberFormat="1" applyBorder="1"/>
    <xf numFmtId="9" fontId="2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74" fontId="6" fillId="0" borderId="2" xfId="0" applyNumberFormat="1" applyFont="1" applyBorder="1"/>
    <xf numFmtId="175" fontId="0" fillId="0" borderId="0" xfId="0" applyNumberFormat="1"/>
    <xf numFmtId="0" fontId="1" fillId="0" borderId="0" xfId="0" applyNumberFormat="1" applyFont="1" applyFill="1" applyBorder="1"/>
    <xf numFmtId="176" fontId="32" fillId="0" borderId="0" xfId="0" applyNumberFormat="1" applyFont="1"/>
    <xf numFmtId="0" fontId="0" fillId="0" borderId="0" xfId="0" applyNumberFormat="1" applyFill="1" applyBorder="1"/>
    <xf numFmtId="10" fontId="0" fillId="0" borderId="0" xfId="0" applyNumberFormat="1"/>
    <xf numFmtId="177" fontId="32" fillId="0" borderId="0" xfId="0" applyNumberFormat="1" applyFont="1"/>
    <xf numFmtId="0" fontId="13" fillId="9" borderId="0" xfId="0" applyFont="1" applyFill="1"/>
    <xf numFmtId="0" fontId="0" fillId="0" borderId="0" xfId="0" applyNumberFormat="1" applyFont="1" applyFill="1" applyBorder="1"/>
    <xf numFmtId="10" fontId="28" fillId="0" borderId="0" xfId="1" applyNumberFormat="1" applyFont="1"/>
    <xf numFmtId="10" fontId="0" fillId="0" borderId="0" xfId="1" applyNumberFormat="1" applyFont="1"/>
    <xf numFmtId="10" fontId="29" fillId="0" borderId="0" xfId="0" applyNumberFormat="1" applyFont="1"/>
    <xf numFmtId="10" fontId="31" fillId="0" borderId="0" xfId="0" applyNumberFormat="1" applyFont="1"/>
    <xf numFmtId="0" fontId="33" fillId="7" borderId="0" xfId="0" applyNumberFormat="1" applyFont="1" applyFill="1"/>
    <xf numFmtId="10" fontId="33" fillId="7" borderId="0" xfId="1" applyNumberFormat="1" applyFont="1" applyFill="1"/>
    <xf numFmtId="0" fontId="31" fillId="3" borderId="0" xfId="0" applyFont="1" applyFill="1"/>
    <xf numFmtId="0" fontId="34" fillId="3" borderId="0" xfId="0" applyFont="1" applyFill="1"/>
    <xf numFmtId="0" fontId="3" fillId="3" borderId="0" xfId="0" applyFont="1" applyFill="1" applyBorder="1"/>
    <xf numFmtId="9" fontId="3" fillId="3" borderId="0" xfId="0" applyNumberFormat="1" applyFont="1" applyFill="1" applyBorder="1"/>
    <xf numFmtId="0" fontId="35" fillId="0" borderId="0" xfId="0" applyNumberFormat="1" applyFont="1"/>
    <xf numFmtId="174" fontId="35" fillId="0" borderId="0" xfId="0" applyNumberFormat="1" applyFont="1"/>
    <xf numFmtId="164" fontId="9" fillId="0" borderId="0" xfId="0" applyNumberFormat="1" applyFont="1" applyAlignment="1">
      <alignment horizontal="left" indent="1"/>
    </xf>
    <xf numFmtId="164" fontId="13" fillId="8" borderId="0" xfId="0" applyNumberFormat="1" applyFont="1" applyFill="1" applyBorder="1" applyAlignment="1">
      <alignment horizontal="left"/>
    </xf>
    <xf numFmtId="164" fontId="8" fillId="0" borderId="0" xfId="0" applyNumberFormat="1" applyFont="1" applyBorder="1" applyAlignment="1">
      <alignment horizontal="left" indent="2"/>
    </xf>
    <xf numFmtId="165" fontId="13" fillId="8" borderId="0" xfId="0" applyNumberFormat="1" applyFont="1" applyFill="1" applyBorder="1"/>
    <xf numFmtId="166" fontId="13" fillId="9" borderId="0" xfId="0" applyNumberFormat="1" applyFont="1" applyFill="1" applyBorder="1"/>
    <xf numFmtId="164" fontId="7" fillId="0" borderId="0" xfId="0" applyNumberFormat="1" applyFont="1" applyFill="1"/>
    <xf numFmtId="167" fontId="7" fillId="0" borderId="0" xfId="0" applyNumberFormat="1" applyFont="1" applyFill="1"/>
    <xf numFmtId="10" fontId="7" fillId="0" borderId="0" xfId="1" applyNumberFormat="1" applyFont="1" applyFill="1"/>
    <xf numFmtId="0" fontId="2" fillId="0" borderId="0" xfId="0" applyFont="1" applyFill="1"/>
    <xf numFmtId="0" fontId="3" fillId="0" borderId="0" xfId="0" applyFont="1" applyFill="1"/>
    <xf numFmtId="0" fontId="2" fillId="0" borderId="0" xfId="0" applyFont="1" applyFill="1" applyBorder="1"/>
    <xf numFmtId="0" fontId="3" fillId="0" borderId="0" xfId="0" applyFont="1" applyFill="1" applyBorder="1"/>
    <xf numFmtId="0" fontId="35" fillId="0" borderId="0" xfId="0" applyFont="1"/>
    <xf numFmtId="167" fontId="2" fillId="0" borderId="0" xfId="0" applyNumberFormat="1" applyFont="1"/>
    <xf numFmtId="173" fontId="3" fillId="0" borderId="0" xfId="0" applyNumberFormat="1" applyFont="1"/>
    <xf numFmtId="10" fontId="3" fillId="0" borderId="0" xfId="1" applyNumberFormat="1" applyFont="1"/>
    <xf numFmtId="10" fontId="8" fillId="0" borderId="0" xfId="0" applyNumberFormat="1" applyFont="1"/>
    <xf numFmtId="167" fontId="7" fillId="2" borderId="0" xfId="0" applyNumberFormat="1" applyFont="1" applyFill="1"/>
    <xf numFmtId="181" fontId="37" fillId="0" borderId="10" xfId="0" applyNumberFormat="1" applyFont="1" applyBorder="1"/>
    <xf numFmtId="180" fontId="37" fillId="0" borderId="10" xfId="0" applyNumberFormat="1" applyFont="1" applyBorder="1"/>
    <xf numFmtId="179" fontId="37" fillId="0" borderId="10" xfId="0" applyNumberFormat="1" applyFont="1" applyBorder="1"/>
    <xf numFmtId="182" fontId="38" fillId="0" borderId="10" xfId="0" applyNumberFormat="1" applyFont="1" applyBorder="1"/>
    <xf numFmtId="181" fontId="38" fillId="0" borderId="10" xfId="0" applyNumberFormat="1" applyFont="1" applyBorder="1"/>
    <xf numFmtId="178" fontId="0" fillId="0" borderId="0" xfId="0" applyNumberFormat="1"/>
    <xf numFmtId="165" fontId="13" fillId="11" borderId="3" xfId="0" applyNumberFormat="1" applyFont="1" applyFill="1" applyBorder="1" applyAlignment="1">
      <alignment horizontal="right"/>
    </xf>
    <xf numFmtId="0" fontId="0" fillId="11" borderId="0" xfId="0" applyFill="1" applyAlignment="1">
      <alignment horizontal="right"/>
    </xf>
    <xf numFmtId="178" fontId="0" fillId="11" borderId="0" xfId="0" applyNumberFormat="1" applyFill="1" applyAlignment="1">
      <alignment horizontal="right"/>
    </xf>
    <xf numFmtId="180" fontId="0" fillId="0" borderId="0" xfId="0" applyNumberFormat="1"/>
    <xf numFmtId="180" fontId="0" fillId="11" borderId="0" xfId="0" applyNumberFormat="1" applyFill="1" applyAlignment="1">
      <alignment horizontal="right"/>
    </xf>
    <xf numFmtId="167" fontId="3" fillId="0" borderId="0" xfId="0" applyNumberFormat="1" applyFont="1" applyFill="1"/>
    <xf numFmtId="10" fontId="23" fillId="0" borderId="0" xfId="0" applyNumberFormat="1" applyFont="1"/>
    <xf numFmtId="10" fontId="23" fillId="0" borderId="4" xfId="0" applyNumberFormat="1" applyFont="1" applyBorder="1"/>
    <xf numFmtId="164" fontId="8" fillId="0" borderId="0" xfId="0" applyNumberFormat="1" applyFont="1" applyFill="1" applyAlignment="1">
      <alignment horizontal="left" indent="1"/>
    </xf>
    <xf numFmtId="9" fontId="8" fillId="0" borderId="0" xfId="0" applyNumberFormat="1" applyFont="1" applyFill="1"/>
    <xf numFmtId="10" fontId="8" fillId="0" borderId="0" xfId="0" applyNumberFormat="1" applyFont="1" applyFill="1"/>
    <xf numFmtId="10" fontId="40" fillId="12" borderId="8" xfId="0" applyNumberFormat="1" applyFont="1" applyFill="1" applyBorder="1"/>
    <xf numFmtId="184" fontId="40" fillId="12" borderId="8" xfId="0" applyNumberFormat="1" applyFont="1" applyFill="1" applyBorder="1"/>
    <xf numFmtId="173" fontId="41" fillId="12" borderId="8" xfId="0" applyNumberFormat="1" applyFont="1" applyFill="1" applyBorder="1"/>
    <xf numFmtId="10" fontId="0" fillId="0" borderId="0" xfId="1" applyNumberFormat="1" applyFont="1" applyFill="1"/>
    <xf numFmtId="10" fontId="37" fillId="0" borderId="10" xfId="1" applyNumberFormat="1" applyFont="1" applyFill="1" applyBorder="1"/>
    <xf numFmtId="165" fontId="13" fillId="8" borderId="6" xfId="0" applyNumberFormat="1" applyFont="1" applyFill="1" applyBorder="1" applyAlignment="1">
      <alignment horizontal="center"/>
    </xf>
    <xf numFmtId="165" fontId="13" fillId="10" borderId="6" xfId="0" applyNumberFormat="1" applyFont="1" applyFill="1" applyBorder="1" applyAlignment="1">
      <alignment horizontal="center"/>
    </xf>
    <xf numFmtId="167" fontId="20" fillId="14" borderId="0" xfId="0" applyNumberFormat="1" applyFont="1" applyFill="1"/>
    <xf numFmtId="167" fontId="34" fillId="14" borderId="0" xfId="0" applyNumberFormat="1" applyFont="1" applyFill="1"/>
    <xf numFmtId="167" fontId="41" fillId="14" borderId="0" xfId="0" applyNumberFormat="1" applyFont="1" applyFill="1"/>
    <xf numFmtId="167" fontId="39" fillId="14" borderId="0" xfId="0" applyNumberFormat="1" applyFont="1" applyFill="1"/>
    <xf numFmtId="167" fontId="40" fillId="14" borderId="0" xfId="0" applyNumberFormat="1" applyFont="1" applyFill="1"/>
    <xf numFmtId="164" fontId="34" fillId="14" borderId="0" xfId="0" applyNumberFormat="1" applyFont="1" applyFill="1"/>
    <xf numFmtId="167" fontId="34" fillId="14" borderId="1" xfId="0" applyNumberFormat="1" applyFont="1" applyFill="1" applyBorder="1"/>
    <xf numFmtId="167" fontId="41" fillId="14" borderId="1" xfId="0" applyNumberFormat="1" applyFont="1" applyFill="1" applyBorder="1"/>
    <xf numFmtId="165" fontId="13" fillId="8" borderId="3" xfId="0" applyNumberFormat="1" applyFont="1" applyFill="1" applyBorder="1" applyAlignment="1">
      <alignment horizontal="center"/>
    </xf>
    <xf numFmtId="167" fontId="26" fillId="14" borderId="1" xfId="0" applyNumberFormat="1" applyFont="1" applyFill="1" applyBorder="1"/>
    <xf numFmtId="164" fontId="9" fillId="0" borderId="2" xfId="0" applyNumberFormat="1" applyFont="1" applyBorder="1" applyAlignment="1">
      <alignment horizontal="left" indent="1"/>
    </xf>
    <xf numFmtId="167" fontId="22" fillId="0" borderId="2" xfId="0" applyNumberFormat="1" applyFont="1" applyBorder="1"/>
    <xf numFmtId="167" fontId="39" fillId="14" borderId="2" xfId="0" applyNumberFormat="1" applyFont="1" applyFill="1" applyBorder="1"/>
    <xf numFmtId="164" fontId="9" fillId="0" borderId="0" xfId="0" applyNumberFormat="1" applyFont="1" applyBorder="1" applyAlignment="1">
      <alignment horizontal="left" indent="1"/>
    </xf>
    <xf numFmtId="167" fontId="22" fillId="0" borderId="0" xfId="0" applyNumberFormat="1" applyFont="1" applyBorder="1"/>
    <xf numFmtId="167" fontId="39" fillId="14" borderId="0" xfId="0" applyNumberFormat="1" applyFont="1" applyFill="1" applyBorder="1"/>
    <xf numFmtId="164" fontId="7" fillId="0" borderId="0" xfId="0" applyNumberFormat="1" applyFont="1" applyFill="1" applyAlignment="1">
      <alignment horizontal="left"/>
    </xf>
    <xf numFmtId="164" fontId="13" fillId="8" borderId="0" xfId="0" applyNumberFormat="1" applyFont="1" applyFill="1" applyAlignment="1">
      <alignment horizontal="center"/>
    </xf>
    <xf numFmtId="175" fontId="29" fillId="0" borderId="0" xfId="0" applyNumberFormat="1" applyFont="1"/>
    <xf numFmtId="0" fontId="35" fillId="0" borderId="2" xfId="0" applyFont="1" applyBorder="1"/>
    <xf numFmtId="167" fontId="3" fillId="3" borderId="0" xfId="0" applyNumberFormat="1" applyFont="1" applyFill="1"/>
    <xf numFmtId="10" fontId="3" fillId="3" borderId="0" xfId="1" applyNumberFormat="1" applyFont="1" applyFill="1"/>
    <xf numFmtId="10" fontId="26" fillId="0" borderId="8" xfId="0" applyNumberFormat="1" applyFont="1" applyFill="1" applyBorder="1" applyAlignment="1">
      <alignment horizontal="center"/>
    </xf>
    <xf numFmtId="10" fontId="15" fillId="2" borderId="8" xfId="0" applyNumberFormat="1" applyFont="1" applyFill="1" applyBorder="1" applyAlignment="1">
      <alignment horizontal="center"/>
    </xf>
    <xf numFmtId="175" fontId="40" fillId="12" borderId="8" xfId="0" applyNumberFormat="1" applyFont="1" applyFill="1" applyBorder="1"/>
    <xf numFmtId="172" fontId="2" fillId="13" borderId="0" xfId="0" applyNumberFormat="1" applyFont="1" applyFill="1"/>
    <xf numFmtId="10" fontId="2" fillId="13" borderId="0" xfId="1" applyNumberFormat="1" applyFont="1" applyFill="1"/>
    <xf numFmtId="10" fontId="3" fillId="13" borderId="0" xfId="1" applyNumberFormat="1" applyFont="1" applyFill="1"/>
    <xf numFmtId="0" fontId="3" fillId="8" borderId="0" xfId="0" applyFont="1" applyFill="1"/>
    <xf numFmtId="0" fontId="0" fillId="8" borderId="0" xfId="0" applyFill="1"/>
    <xf numFmtId="0" fontId="13" fillId="8" borderId="0" xfId="0" applyFont="1" applyFill="1" applyAlignment="1">
      <alignment horizontal="center"/>
    </xf>
    <xf numFmtId="183" fontId="7" fillId="0" borderId="0" xfId="0" applyNumberFormat="1" applyFont="1" applyBorder="1"/>
    <xf numFmtId="183" fontId="7" fillId="0" borderId="0" xfId="0" applyNumberFormat="1" applyFont="1" applyFill="1" applyBorder="1"/>
    <xf numFmtId="183" fontId="9" fillId="0" borderId="0" xfId="0" applyNumberFormat="1" applyFont="1" applyBorder="1"/>
    <xf numFmtId="183" fontId="3" fillId="3" borderId="0" xfId="0" applyNumberFormat="1" applyFont="1" applyFill="1"/>
    <xf numFmtId="10" fontId="3" fillId="3" borderId="0" xfId="1" applyNumberFormat="1" applyFont="1" applyFill="1" applyBorder="1"/>
    <xf numFmtId="0" fontId="0" fillId="0" borderId="0" xfId="0" applyBorder="1"/>
    <xf numFmtId="0" fontId="35" fillId="0" borderId="0" xfId="0" applyFont="1" applyBorder="1"/>
    <xf numFmtId="0" fontId="0" fillId="0" borderId="2" xfId="0" applyBorder="1"/>
    <xf numFmtId="167" fontId="7" fillId="0" borderId="2" xfId="0" applyNumberFormat="1" applyFont="1" applyBorder="1"/>
    <xf numFmtId="171" fontId="30" fillId="0" borderId="0" xfId="0" applyNumberFormat="1" applyFont="1" applyAlignment="1">
      <alignment horizontal="center"/>
    </xf>
    <xf numFmtId="164" fontId="13" fillId="8" borderId="0" xfId="0" applyNumberFormat="1" applyFont="1" applyFill="1" applyAlignment="1">
      <alignment horizontal="right"/>
    </xf>
    <xf numFmtId="185" fontId="0" fillId="0" borderId="0" xfId="0" applyNumberFormat="1"/>
    <xf numFmtId="164" fontId="42" fillId="8" borderId="0" xfId="0" applyNumberFormat="1" applyFont="1" applyFill="1"/>
    <xf numFmtId="186" fontId="0" fillId="2" borderId="8" xfId="0" applyNumberFormat="1" applyFill="1" applyBorder="1"/>
    <xf numFmtId="186" fontId="0" fillId="0" borderId="0" xfId="0" applyNumberFormat="1"/>
    <xf numFmtId="164" fontId="9" fillId="7" borderId="7" xfId="0" applyNumberFormat="1" applyFont="1" applyFill="1" applyBorder="1"/>
    <xf numFmtId="167" fontId="9" fillId="7" borderId="7" xfId="0" applyNumberFormat="1" applyFont="1" applyFill="1" applyBorder="1"/>
    <xf numFmtId="167" fontId="39" fillId="7" borderId="0" xfId="0" applyNumberFormat="1" applyFont="1" applyFill="1"/>
    <xf numFmtId="167" fontId="34" fillId="14" borderId="2" xfId="0" applyNumberFormat="1" applyFont="1" applyFill="1" applyBorder="1"/>
    <xf numFmtId="167" fontId="22" fillId="7" borderId="7" xfId="0" applyNumberFormat="1" applyFont="1" applyFill="1" applyBorder="1"/>
    <xf numFmtId="167" fontId="34" fillId="7" borderId="0" xfId="0" applyNumberFormat="1" applyFont="1" applyFill="1"/>
    <xf numFmtId="164" fontId="13" fillId="8" borderId="0" xfId="0" applyNumberFormat="1" applyFont="1" applyFill="1" applyAlignment="1">
      <alignment horizontal="left"/>
    </xf>
  </cellXfs>
  <cellStyles count="6">
    <cellStyle name="40% - Accent1" xfId="4" builtinId="31"/>
    <cellStyle name="Comma" xfId="3" builtinId="3"/>
    <cellStyle name="Normal" xfId="0" builtinId="0"/>
    <cellStyle name="Normal 2" xfId="2"/>
    <cellStyle name="Normal 3" xfId="5"/>
    <cellStyle name="Percent" xfId="1" builtinId="5"/>
  </cellStyles>
  <dxfs count="2"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 w="25400">
              <a:noFill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'Football Field'!$C$14:$C$17</c:f>
              <c:strCache>
                <c:ptCount val="4"/>
                <c:pt idx="0">
                  <c:v>LBO (5 year exit)</c:v>
                </c:pt>
                <c:pt idx="1">
                  <c:v>FCFE</c:v>
                </c:pt>
                <c:pt idx="2">
                  <c:v>DCF</c:v>
                </c:pt>
                <c:pt idx="3">
                  <c:v>Trading Comps FY+1 EBITDA</c:v>
                </c:pt>
              </c:strCache>
            </c:strRef>
          </c:cat>
          <c:val>
            <c:numRef>
              <c:f>'Football Field'!$D$14:$D$17</c:f>
              <c:numCache>
                <c:formatCode>General</c:formatCode>
                <c:ptCount val="4"/>
                <c:pt idx="0">
                  <c:v>440</c:v>
                </c:pt>
                <c:pt idx="1">
                  <c:v>510</c:v>
                </c:pt>
                <c:pt idx="2">
                  <c:v>550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5-514A-B0B4-61B3928DBD0E}"/>
            </c:ext>
          </c:extLst>
        </c:ser>
        <c:ser>
          <c:idx val="1"/>
          <c:order val="1"/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5.6923228346456703E-2"/>
                  <c:y val="0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490</a:t>
                    </a:r>
                  </a:p>
                </c:rich>
              </c:tx>
              <c:numFmt formatCode="#,##0" sourceLinked="0"/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325-514A-B0B4-61B3928DBD0E}"/>
                </c:ext>
              </c:extLst>
            </c:dLbl>
            <c:dLbl>
              <c:idx val="1"/>
              <c:layout>
                <c:manualLayout>
                  <c:x val="6.8659011373578299E-2"/>
                  <c:y val="0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580</a:t>
                    </a:r>
                  </a:p>
                </c:rich>
              </c:tx>
              <c:numFmt formatCode="#,##0" sourceLinked="0"/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25-514A-B0B4-61B3928DBD0E}"/>
                </c:ext>
              </c:extLst>
            </c:dLbl>
            <c:dLbl>
              <c:idx val="2"/>
              <c:layout>
                <c:manualLayout>
                  <c:x val="0.15178980752405899"/>
                  <c:y val="4.2437781360066697E-17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750</a:t>
                    </a:r>
                  </a:p>
                </c:rich>
              </c:tx>
              <c:numFmt formatCode="#,##0" sourceLinked="0"/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25-514A-B0B4-61B3928DBD0E}"/>
                </c:ext>
              </c:extLst>
            </c:dLbl>
            <c:dLbl>
              <c:idx val="3"/>
              <c:layout>
                <c:manualLayout>
                  <c:x val="7.9641732283464606E-2"/>
                  <c:y val="0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476</a:t>
                    </a:r>
                  </a:p>
                </c:rich>
              </c:tx>
              <c:numFmt formatCode="#,##0" sourceLinked="0"/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25-514A-B0B4-61B3928DBD0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'Football Field'!$C$14:$C$17</c:f>
              <c:strCache>
                <c:ptCount val="4"/>
                <c:pt idx="0">
                  <c:v>LBO (5 year exit)</c:v>
                </c:pt>
                <c:pt idx="1">
                  <c:v>FCFE</c:v>
                </c:pt>
                <c:pt idx="2">
                  <c:v>DCF</c:v>
                </c:pt>
                <c:pt idx="3">
                  <c:v>Trading Comps FY+1 EBITDA</c:v>
                </c:pt>
              </c:strCache>
            </c:strRef>
          </c:cat>
          <c:val>
            <c:numRef>
              <c:f>'Football Field'!$E$14:$E$17</c:f>
              <c:numCache>
                <c:formatCode>General</c:formatCode>
                <c:ptCount val="4"/>
                <c:pt idx="0">
                  <c:v>50</c:v>
                </c:pt>
                <c:pt idx="1">
                  <c:v>70</c:v>
                </c:pt>
                <c:pt idx="2">
                  <c:v>200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25-514A-B0B4-61B3928DB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0917856"/>
        <c:axId val="1751081664"/>
      </c:barChart>
      <c:catAx>
        <c:axId val="17509178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1081664"/>
        <c:crosses val="autoZero"/>
        <c:auto val="1"/>
        <c:lblAlgn val="ctr"/>
        <c:lblOffset val="100"/>
        <c:noMultiLvlLbl val="0"/>
      </c:catAx>
      <c:valAx>
        <c:axId val="1751081664"/>
        <c:scaling>
          <c:orientation val="minMax"/>
          <c:max val="800"/>
          <c:min val="3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0917856"/>
        <c:crosses val="autoZero"/>
        <c:crossBetween val="between"/>
        <c:majorUnit val="1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3</xdr:row>
      <xdr:rowOff>101600</xdr:rowOff>
    </xdr:from>
    <xdr:to>
      <xdr:col>18</xdr:col>
      <xdr:colOff>342900</xdr:colOff>
      <xdr:row>17</xdr:row>
      <xdr:rowOff>177800</xdr:rowOff>
    </xdr:to>
    <xdr:graphicFrame macro="">
      <xdr:nvGraphicFramePr>
        <xdr:cNvPr id="23553" name="Chart 1">
          <a:extLst>
            <a:ext uri="{FF2B5EF4-FFF2-40B4-BE49-F238E27FC236}">
              <a16:creationId xmlns:a16="http://schemas.microsoft.com/office/drawing/2014/main" id="{AB16742E-176F-8C47-B602-6AAE0ED36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T297"/>
  <sheetViews>
    <sheetView tabSelected="1" zoomScale="80" zoomScaleNormal="80" workbookViewId="0">
      <pane xSplit="5" ySplit="7" topLeftCell="F134" activePane="bottomRight" state="frozen"/>
      <selection pane="topRight" activeCell="F1" sqref="F1"/>
      <selection pane="bottomLeft" activeCell="A7" sqref="A7"/>
      <selection pane="bottomRight" activeCell="J142" sqref="J142"/>
    </sheetView>
  </sheetViews>
  <sheetFormatPr defaultColWidth="0" defaultRowHeight="12.75" zeroHeight="1" x14ac:dyDescent="0.2"/>
  <cols>
    <col min="1" max="1" width="2.7109375" style="2" customWidth="1"/>
    <col min="2" max="2" width="54.5703125" style="2" customWidth="1"/>
    <col min="3" max="3" width="12.85546875" style="6" hidden="1" customWidth="1"/>
    <col min="4" max="5" width="12.7109375" style="6" hidden="1" customWidth="1"/>
    <col min="6" max="20" width="15.28515625" style="6" bestFit="1" customWidth="1"/>
    <col min="21" max="16384" width="9.140625" style="6" hidden="1"/>
  </cols>
  <sheetData>
    <row r="1" spans="2:20" s="2" customFormat="1" x14ac:dyDescent="0.2"/>
    <row r="2" spans="2:20" s="2" customFormat="1" ht="15.75" x14ac:dyDescent="0.25">
      <c r="B2" s="203" t="s">
        <v>456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</row>
    <row r="3" spans="2:20" s="2" customFormat="1" x14ac:dyDescent="0.2">
      <c r="B3" s="59"/>
      <c r="C3" s="59"/>
      <c r="D3" s="59"/>
      <c r="E3" s="59"/>
      <c r="F3" s="59"/>
      <c r="G3" s="59"/>
      <c r="H3" s="59"/>
      <c r="I3" s="59"/>
      <c r="J3" s="59"/>
      <c r="K3" s="59">
        <f>J3+1</f>
        <v>1</v>
      </c>
      <c r="L3" s="59">
        <f t="shared" ref="L3:T3" si="0">K3+1</f>
        <v>2</v>
      </c>
      <c r="M3" s="59">
        <f t="shared" si="0"/>
        <v>3</v>
      </c>
      <c r="N3" s="59">
        <f t="shared" si="0"/>
        <v>4</v>
      </c>
      <c r="O3" s="59">
        <f t="shared" si="0"/>
        <v>5</v>
      </c>
      <c r="P3" s="59">
        <f t="shared" si="0"/>
        <v>6</v>
      </c>
      <c r="Q3" s="59">
        <f t="shared" si="0"/>
        <v>7</v>
      </c>
      <c r="R3" s="59">
        <f t="shared" si="0"/>
        <v>8</v>
      </c>
      <c r="S3" s="59">
        <f t="shared" si="0"/>
        <v>9</v>
      </c>
      <c r="T3" s="59">
        <f t="shared" si="0"/>
        <v>10</v>
      </c>
    </row>
    <row r="4" spans="2:20" s="2" customFormat="1" x14ac:dyDescent="0.2">
      <c r="B4" s="59" t="s">
        <v>27</v>
      </c>
      <c r="C4" s="59"/>
      <c r="D4" s="59"/>
      <c r="E4" s="59"/>
      <c r="F4" s="201" t="s">
        <v>449</v>
      </c>
      <c r="G4" s="201" t="s">
        <v>449</v>
      </c>
      <c r="H4" s="201" t="s">
        <v>449</v>
      </c>
      <c r="I4" s="201" t="s">
        <v>449</v>
      </c>
      <c r="J4" s="177" t="s">
        <v>450</v>
      </c>
      <c r="K4" s="201" t="s">
        <v>451</v>
      </c>
      <c r="L4" s="201" t="s">
        <v>451</v>
      </c>
      <c r="M4" s="201" t="s">
        <v>451</v>
      </c>
      <c r="N4" s="201" t="s">
        <v>451</v>
      </c>
      <c r="O4" s="201" t="s">
        <v>451</v>
      </c>
      <c r="P4" s="201" t="s">
        <v>451</v>
      </c>
      <c r="Q4" s="201" t="s">
        <v>451</v>
      </c>
      <c r="R4" s="201" t="s">
        <v>451</v>
      </c>
      <c r="S4" s="201" t="s">
        <v>451</v>
      </c>
      <c r="T4" s="201" t="s">
        <v>451</v>
      </c>
    </row>
    <row r="5" spans="2:20" s="2" customFormat="1" x14ac:dyDescent="0.2">
      <c r="B5" s="60" t="s">
        <v>194</v>
      </c>
      <c r="C5" s="61">
        <v>2019</v>
      </c>
      <c r="D5" s="61">
        <f>+C5+1</f>
        <v>2020</v>
      </c>
      <c r="E5" s="61">
        <f>+D5+1</f>
        <v>2021</v>
      </c>
      <c r="F5" s="61">
        <f t="shared" ref="F5:G5" si="1">+E5+1</f>
        <v>2022</v>
      </c>
      <c r="G5" s="62">
        <f t="shared" si="1"/>
        <v>2023</v>
      </c>
      <c r="H5" s="63">
        <f>+G5+1</f>
        <v>2024</v>
      </c>
      <c r="I5" s="63">
        <f>+H5+1</f>
        <v>2025</v>
      </c>
      <c r="J5" s="159"/>
      <c r="K5" s="67">
        <f>+I5+1</f>
        <v>2026</v>
      </c>
      <c r="L5" s="67">
        <f t="shared" ref="L5:T5" si="2">+K5+1</f>
        <v>2027</v>
      </c>
      <c r="M5" s="67">
        <f t="shared" si="2"/>
        <v>2028</v>
      </c>
      <c r="N5" s="67">
        <f t="shared" si="2"/>
        <v>2029</v>
      </c>
      <c r="O5" s="67">
        <f t="shared" si="2"/>
        <v>2030</v>
      </c>
      <c r="P5" s="67">
        <f t="shared" si="2"/>
        <v>2031</v>
      </c>
      <c r="Q5" s="67">
        <f t="shared" si="2"/>
        <v>2032</v>
      </c>
      <c r="R5" s="67">
        <f t="shared" si="2"/>
        <v>2033</v>
      </c>
      <c r="S5" s="67">
        <f t="shared" si="2"/>
        <v>2034</v>
      </c>
      <c r="T5" s="67">
        <f t="shared" si="2"/>
        <v>2035</v>
      </c>
    </row>
    <row r="6" spans="2:20" s="2" customFormat="1" ht="4.9000000000000004" customHeight="1" x14ac:dyDescent="0.2">
      <c r="B6" s="5"/>
      <c r="C6" s="3"/>
      <c r="D6" s="3"/>
      <c r="E6" s="3"/>
      <c r="F6" s="3"/>
      <c r="G6" s="25"/>
      <c r="H6" s="4"/>
      <c r="I6" s="4"/>
      <c r="K6" s="4"/>
      <c r="L6" s="4"/>
      <c r="M6" s="4"/>
      <c r="N6" s="4"/>
      <c r="O6" s="4"/>
      <c r="P6" s="4"/>
      <c r="Q6" s="4"/>
      <c r="R6" s="4"/>
    </row>
    <row r="7" spans="2:20" x14ac:dyDescent="0.2">
      <c r="G7" s="26"/>
    </row>
    <row r="8" spans="2:20" x14ac:dyDescent="0.2">
      <c r="B8" s="13" t="s">
        <v>275</v>
      </c>
    </row>
    <row r="9" spans="2:20" x14ac:dyDescent="0.2">
      <c r="B9" s="2" t="s">
        <v>279</v>
      </c>
      <c r="F9" s="147">
        <f>F12/F19</f>
        <v>60.724059242024254</v>
      </c>
      <c r="G9" s="147">
        <f>G12/G19</f>
        <v>61.189664144750012</v>
      </c>
      <c r="H9" s="147">
        <f>H12/H19</f>
        <v>63.839523050049365</v>
      </c>
      <c r="I9" s="147">
        <f>I12/I19</f>
        <v>70.754446854663769</v>
      </c>
      <c r="J9" s="161"/>
      <c r="K9" s="124">
        <f>I9*(1+K10)</f>
        <v>71.81576355748372</v>
      </c>
      <c r="L9" s="124">
        <f>K9*(1+L10)</f>
        <v>73.072539419739684</v>
      </c>
      <c r="M9" s="124">
        <f t="shared" ref="M9:T9" si="3">L9*(1+M10)</f>
        <v>74.533990208134483</v>
      </c>
      <c r="N9" s="124">
        <f t="shared" si="3"/>
        <v>76.211004987817503</v>
      </c>
      <c r="O9" s="124">
        <f t="shared" si="3"/>
        <v>78.116280112512939</v>
      </c>
      <c r="P9" s="124">
        <f t="shared" si="3"/>
        <v>80.264477815607052</v>
      </c>
      <c r="Q9" s="124">
        <f t="shared" si="3"/>
        <v>82.67241215007526</v>
      </c>
      <c r="R9" s="124">
        <f t="shared" si="3"/>
        <v>85.152584514577526</v>
      </c>
      <c r="S9" s="124">
        <f t="shared" si="3"/>
        <v>87.707162050014858</v>
      </c>
      <c r="T9" s="124">
        <f t="shared" si="3"/>
        <v>90.338376911515311</v>
      </c>
    </row>
    <row r="10" spans="2:20" x14ac:dyDescent="0.2">
      <c r="B10" s="9" t="s">
        <v>282</v>
      </c>
      <c r="F10" s="80"/>
      <c r="G10" s="133">
        <f>G9/F9-1</f>
        <v>7.6675523431335435E-3</v>
      </c>
      <c r="H10" s="133">
        <f t="shared" ref="H10" si="4">H9/G9-1</f>
        <v>4.3305661868495715E-2</v>
      </c>
      <c r="I10" s="133">
        <f>I9/H9-1</f>
        <v>0.10831728487684966</v>
      </c>
      <c r="J10" s="161"/>
      <c r="K10" s="153">
        <v>1.4999999999999999E-2</v>
      </c>
      <c r="L10" s="153">
        <v>1.7500000000000002E-2</v>
      </c>
      <c r="M10" s="153">
        <v>0.02</v>
      </c>
      <c r="N10" s="153">
        <v>2.2499999999999999E-2</v>
      </c>
      <c r="O10" s="153">
        <v>2.5000000000000001E-2</v>
      </c>
      <c r="P10" s="153">
        <v>2.75E-2</v>
      </c>
      <c r="Q10" s="153">
        <v>0.03</v>
      </c>
      <c r="R10" s="153">
        <f t="shared" ref="R10:T10" si="5">Q10</f>
        <v>0.03</v>
      </c>
      <c r="S10" s="153">
        <f t="shared" si="5"/>
        <v>0.03</v>
      </c>
      <c r="T10" s="153">
        <f t="shared" si="5"/>
        <v>0.03</v>
      </c>
    </row>
    <row r="11" spans="2:20" x14ac:dyDescent="0.2">
      <c r="B11" s="9"/>
      <c r="C11" s="9"/>
      <c r="D11" s="9"/>
      <c r="E11" s="9"/>
      <c r="F11" s="9"/>
      <c r="G11" s="9"/>
      <c r="H11" s="9"/>
      <c r="I11" s="9"/>
      <c r="J11" s="161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2:20" x14ac:dyDescent="0.2">
      <c r="B12" s="2" t="s">
        <v>271</v>
      </c>
      <c r="F12" s="73">
        <v>1357122000</v>
      </c>
      <c r="G12" s="73">
        <v>1528579000</v>
      </c>
      <c r="H12" s="73">
        <v>1681150000</v>
      </c>
      <c r="I12" s="73">
        <v>1793979000</v>
      </c>
      <c r="J12" s="161"/>
      <c r="K12" s="124">
        <f>I12*(1+K13)</f>
        <v>1919557530</v>
      </c>
      <c r="L12" s="124">
        <f>K12*(1+L13)</f>
        <v>2044328769.4499998</v>
      </c>
      <c r="M12" s="124">
        <f t="shared" ref="M12:T12" si="6">L12*(1+M13)</f>
        <v>2166988495.6170001</v>
      </c>
      <c r="N12" s="124">
        <f t="shared" si="6"/>
        <v>2291590334.1149778</v>
      </c>
      <c r="O12" s="124">
        <f t="shared" si="6"/>
        <v>2417627802.4913015</v>
      </c>
      <c r="P12" s="124">
        <f t="shared" si="6"/>
        <v>2544553262.1220946</v>
      </c>
      <c r="Q12" s="124">
        <f t="shared" si="6"/>
        <v>2671780925.2281995</v>
      </c>
      <c r="R12" s="124">
        <f t="shared" si="6"/>
        <v>2798690519.1765394</v>
      </c>
      <c r="S12" s="124">
        <f t="shared" si="6"/>
        <v>2924631592.5394835</v>
      </c>
      <c r="T12" s="124">
        <f t="shared" si="6"/>
        <v>3056240014.2037601</v>
      </c>
    </row>
    <row r="13" spans="2:20" x14ac:dyDescent="0.2">
      <c r="B13" s="9" t="s">
        <v>282</v>
      </c>
      <c r="F13" s="73"/>
      <c r="G13" s="133">
        <f>G12/F12-1</f>
        <v>0.12633867846811109</v>
      </c>
      <c r="H13" s="133">
        <f t="shared" ref="H13" si="7">H12/G12-1</f>
        <v>9.9812309340897576E-2</v>
      </c>
      <c r="I13" s="133">
        <f>I12/H12-1</f>
        <v>6.711417779496176E-2</v>
      </c>
      <c r="J13" s="161"/>
      <c r="K13" s="153">
        <v>7.0000000000000007E-2</v>
      </c>
      <c r="L13" s="153">
        <v>6.5000000000000002E-2</v>
      </c>
      <c r="M13" s="153">
        <v>0.06</v>
      </c>
      <c r="N13" s="153">
        <v>5.7500000000000002E-2</v>
      </c>
      <c r="O13" s="153">
        <v>5.5E-2</v>
      </c>
      <c r="P13" s="153">
        <v>5.2499999999999998E-2</v>
      </c>
      <c r="Q13" s="153">
        <v>0.05</v>
      </c>
      <c r="R13" s="153">
        <v>4.7500000000000001E-2</v>
      </c>
      <c r="S13" s="153">
        <v>4.4999999999999998E-2</v>
      </c>
      <c r="T13" s="153">
        <f t="shared" ref="T13" si="8">S13</f>
        <v>4.4999999999999998E-2</v>
      </c>
    </row>
    <row r="14" spans="2:20" x14ac:dyDescent="0.2">
      <c r="F14" s="80"/>
      <c r="G14" s="133"/>
      <c r="H14" s="133"/>
      <c r="I14" s="133"/>
      <c r="J14" s="161"/>
    </row>
    <row r="15" spans="2:20" x14ac:dyDescent="0.2">
      <c r="B15" s="2" t="s">
        <v>280</v>
      </c>
      <c r="F15" s="132">
        <f>F20/F19</f>
        <v>1.1278356973466375</v>
      </c>
      <c r="G15" s="132">
        <f>G20/G19</f>
        <v>1.0750970737760699</v>
      </c>
      <c r="H15" s="132">
        <f>H20/H19</f>
        <v>1.0952380952380953</v>
      </c>
      <c r="I15" s="132">
        <f>I20/I19</f>
        <v>1.1752317097219482</v>
      </c>
      <c r="J15" s="161"/>
      <c r="K15" s="155">
        <f>I15</f>
        <v>1.1752317097219482</v>
      </c>
      <c r="L15" s="132">
        <f>K15</f>
        <v>1.1752317097219482</v>
      </c>
      <c r="M15" s="132">
        <f t="shared" ref="M15:T15" si="9">L15</f>
        <v>1.1752317097219482</v>
      </c>
      <c r="N15" s="132">
        <f t="shared" si="9"/>
        <v>1.1752317097219482</v>
      </c>
      <c r="O15" s="132">
        <f t="shared" si="9"/>
        <v>1.1752317097219482</v>
      </c>
      <c r="P15" s="132">
        <f t="shared" si="9"/>
        <v>1.1752317097219482</v>
      </c>
      <c r="Q15" s="132">
        <f t="shared" si="9"/>
        <v>1.1752317097219482</v>
      </c>
      <c r="R15" s="132">
        <f t="shared" si="9"/>
        <v>1.1752317097219482</v>
      </c>
      <c r="S15" s="132">
        <f t="shared" si="9"/>
        <v>1.1752317097219482</v>
      </c>
      <c r="T15" s="132">
        <f t="shared" si="9"/>
        <v>1.1752317097219482</v>
      </c>
    </row>
    <row r="16" spans="2:20" x14ac:dyDescent="0.2">
      <c r="J16" s="161"/>
    </row>
    <row r="17" spans="1:20" x14ac:dyDescent="0.2">
      <c r="B17" s="2" t="s">
        <v>448</v>
      </c>
      <c r="F17" s="44">
        <f>F21/F12</f>
        <v>1.7036051290893522E-3</v>
      </c>
      <c r="G17" s="44">
        <f>G21/G12</f>
        <v>1.9063456975400028E-3</v>
      </c>
      <c r="H17" s="44">
        <f>H21/H12</f>
        <v>1.757725366564554E-3</v>
      </c>
      <c r="I17" s="44">
        <f>I21/I12</f>
        <v>1.8807355047076916E-3</v>
      </c>
      <c r="J17" s="161"/>
      <c r="K17" s="153">
        <f>I17</f>
        <v>1.8807355047076916E-3</v>
      </c>
      <c r="L17" s="44">
        <f>K17</f>
        <v>1.8807355047076916E-3</v>
      </c>
      <c r="M17" s="44">
        <f t="shared" ref="M17:T17" si="10">L17</f>
        <v>1.8807355047076916E-3</v>
      </c>
      <c r="N17" s="44">
        <f t="shared" si="10"/>
        <v>1.8807355047076916E-3</v>
      </c>
      <c r="O17" s="44">
        <f t="shared" si="10"/>
        <v>1.8807355047076916E-3</v>
      </c>
      <c r="P17" s="44">
        <f t="shared" si="10"/>
        <v>1.8807355047076916E-3</v>
      </c>
      <c r="Q17" s="44">
        <f t="shared" si="10"/>
        <v>1.8807355047076916E-3</v>
      </c>
      <c r="R17" s="44">
        <f t="shared" si="10"/>
        <v>1.8807355047076916E-3</v>
      </c>
      <c r="S17" s="44">
        <f t="shared" si="10"/>
        <v>1.8807355047076916E-3</v>
      </c>
      <c r="T17" s="44">
        <f t="shared" si="10"/>
        <v>1.8807355047076916E-3</v>
      </c>
    </row>
    <row r="18" spans="1:20" x14ac:dyDescent="0.2">
      <c r="F18" s="80"/>
      <c r="G18" s="80"/>
      <c r="H18" s="80"/>
      <c r="I18" s="80"/>
      <c r="J18" s="161"/>
    </row>
    <row r="19" spans="1:20" x14ac:dyDescent="0.2">
      <c r="B19" s="2" t="s">
        <v>276</v>
      </c>
      <c r="F19" s="73">
        <v>22349000</v>
      </c>
      <c r="G19" s="73">
        <v>24981000</v>
      </c>
      <c r="H19" s="73">
        <v>26334000</v>
      </c>
      <c r="I19" s="73">
        <v>25355000</v>
      </c>
      <c r="J19" s="161"/>
      <c r="K19" s="147">
        <f t="shared" ref="K19:T19" si="11">K12/K9</f>
        <v>26728916.25615764</v>
      </c>
      <c r="L19" s="147">
        <f t="shared" si="11"/>
        <v>27976703.501531091</v>
      </c>
      <c r="M19" s="147">
        <f t="shared" si="11"/>
        <v>29073829.129042115</v>
      </c>
      <c r="N19" s="147">
        <f t="shared" si="11"/>
        <v>30069021.324168257</v>
      </c>
      <c r="O19" s="147">
        <f t="shared" si="11"/>
        <v>30949090.240973182</v>
      </c>
      <c r="P19" s="147">
        <f t="shared" si="11"/>
        <v>31702109.468247462</v>
      </c>
      <c r="Q19" s="147">
        <f t="shared" si="11"/>
        <v>32317684.409378484</v>
      </c>
      <c r="R19" s="147">
        <f t="shared" si="11"/>
        <v>32866771.280411616</v>
      </c>
      <c r="S19" s="147">
        <f t="shared" si="11"/>
        <v>33345413.58061178</v>
      </c>
      <c r="T19" s="147">
        <f t="shared" si="11"/>
        <v>33831026.399746895</v>
      </c>
    </row>
    <row r="20" spans="1:20" x14ac:dyDescent="0.2">
      <c r="B20" s="2" t="s">
        <v>272</v>
      </c>
      <c r="F20" s="73">
        <v>25206000</v>
      </c>
      <c r="G20" s="73">
        <v>26857000</v>
      </c>
      <c r="H20" s="73">
        <v>28842000</v>
      </c>
      <c r="I20" s="73">
        <v>29798000</v>
      </c>
      <c r="J20" s="161"/>
      <c r="K20" s="6">
        <f t="shared" ref="K20:T20" si="12">K19*K15</f>
        <v>31412669.950738918</v>
      </c>
      <c r="L20" s="6">
        <f t="shared" si="12"/>
        <v>32879109.0884884</v>
      </c>
      <c r="M20" s="6">
        <f t="shared" si="12"/>
        <v>34168485.915487945</v>
      </c>
      <c r="N20" s="6">
        <f t="shared" si="12"/>
        <v>35338067.340467982</v>
      </c>
      <c r="O20" s="6">
        <f t="shared" si="12"/>
        <v>36372352.238237776</v>
      </c>
      <c r="P20" s="6">
        <f t="shared" si="12"/>
        <v>37257324.312160827</v>
      </c>
      <c r="Q20" s="6">
        <f t="shared" si="12"/>
        <v>37980767.502688229</v>
      </c>
      <c r="R20" s="6">
        <f t="shared" si="12"/>
        <v>38626071.804918371</v>
      </c>
      <c r="S20" s="6">
        <f t="shared" si="12"/>
        <v>39188587.413727857</v>
      </c>
      <c r="T20" s="6">
        <f t="shared" si="12"/>
        <v>39759294.997422911</v>
      </c>
    </row>
    <row r="21" spans="1:20" x14ac:dyDescent="0.2">
      <c r="B21" s="2" t="s">
        <v>273</v>
      </c>
      <c r="F21" s="73">
        <v>2312000</v>
      </c>
      <c r="G21" s="73">
        <v>2914000</v>
      </c>
      <c r="H21" s="73">
        <v>2955000</v>
      </c>
      <c r="I21" s="73">
        <v>3374000</v>
      </c>
      <c r="J21" s="161"/>
      <c r="K21" s="6">
        <f t="shared" ref="K21:T21" si="13">K17*K12</f>
        <v>3610180</v>
      </c>
      <c r="L21" s="6">
        <f t="shared" si="13"/>
        <v>3844841.6999999993</v>
      </c>
      <c r="M21" s="6">
        <f t="shared" si="13"/>
        <v>4075532.202</v>
      </c>
      <c r="N21" s="6">
        <f t="shared" si="13"/>
        <v>4309875.3036150001</v>
      </c>
      <c r="O21" s="6">
        <f t="shared" si="13"/>
        <v>4546918.4453138253</v>
      </c>
      <c r="P21" s="6">
        <f t="shared" si="13"/>
        <v>4785631.6636928003</v>
      </c>
      <c r="Q21" s="6">
        <f t="shared" si="13"/>
        <v>5024913.2468774412</v>
      </c>
      <c r="R21" s="6">
        <f t="shared" si="13"/>
        <v>5263596.6261041202</v>
      </c>
      <c r="S21" s="6">
        <f t="shared" si="13"/>
        <v>5500458.4742788058</v>
      </c>
      <c r="T21" s="6">
        <f t="shared" si="13"/>
        <v>5747979.1056213509</v>
      </c>
    </row>
    <row r="22" spans="1:20" s="14" customFormat="1" x14ac:dyDescent="0.2">
      <c r="A22" s="13"/>
      <c r="B22" s="13" t="s">
        <v>274</v>
      </c>
      <c r="F22" s="14">
        <f>SUM(F20:F21)</f>
        <v>27518000</v>
      </c>
      <c r="G22" s="14">
        <f t="shared" ref="G22:H22" si="14">SUM(G20:G21)</f>
        <v>29771000</v>
      </c>
      <c r="H22" s="14">
        <f t="shared" si="14"/>
        <v>31797000</v>
      </c>
      <c r="I22" s="14">
        <f t="shared" ref="I22" si="15">SUM(I20:I21)</f>
        <v>33172000</v>
      </c>
      <c r="J22" s="162"/>
      <c r="K22" s="14">
        <f t="shared" ref="K22" si="16">SUM(K20:K21)</f>
        <v>35022849.950738922</v>
      </c>
      <c r="L22" s="14">
        <f t="shared" ref="L22" si="17">SUM(L20:L21)</f>
        <v>36723950.788488403</v>
      </c>
      <c r="M22" s="14">
        <f t="shared" ref="M22" si="18">SUM(M20:M21)</f>
        <v>38244018.117487945</v>
      </c>
      <c r="N22" s="14">
        <f t="shared" ref="N22" si="19">SUM(N20:N21)</f>
        <v>39647942.644082978</v>
      </c>
      <c r="O22" s="14">
        <f t="shared" ref="O22" si="20">SUM(O20:O21)</f>
        <v>40919270.683551602</v>
      </c>
      <c r="P22" s="14">
        <f t="shared" ref="P22" si="21">SUM(P20:P21)</f>
        <v>42042955.975853629</v>
      </c>
      <c r="Q22" s="14">
        <f t="shared" ref="Q22" si="22">SUM(Q20:Q21)</f>
        <v>43005680.749565668</v>
      </c>
      <c r="R22" s="14">
        <f t="shared" ref="R22" si="23">SUM(R20:R21)</f>
        <v>43889668.431022495</v>
      </c>
      <c r="S22" s="14">
        <f t="shared" ref="S22" si="24">SUM(S20:S21)</f>
        <v>44689045.888006665</v>
      </c>
      <c r="T22" s="14">
        <f t="shared" ref="T22" si="25">SUM(T20:T21)</f>
        <v>45507274.103044264</v>
      </c>
    </row>
    <row r="23" spans="1:20" s="14" customFormat="1" x14ac:dyDescent="0.2">
      <c r="A23" s="13"/>
      <c r="B23" s="13"/>
      <c r="J23" s="162"/>
    </row>
    <row r="24" spans="1:20" x14ac:dyDescent="0.2">
      <c r="B24" s="2" t="s">
        <v>457</v>
      </c>
      <c r="F24" s="73">
        <v>435000</v>
      </c>
      <c r="G24" s="73">
        <v>426000</v>
      </c>
      <c r="H24" s="73">
        <v>434000</v>
      </c>
      <c r="I24" s="73">
        <v>439000</v>
      </c>
      <c r="J24" s="161"/>
      <c r="K24" s="124">
        <f>I24*(1+K25)</f>
        <v>443390</v>
      </c>
      <c r="L24" s="124">
        <f t="shared" ref="L24:T24" si="26">K24*(1+L25)</f>
        <v>447823.9</v>
      </c>
      <c r="M24" s="124">
        <f t="shared" si="26"/>
        <v>452302.13900000002</v>
      </c>
      <c r="N24" s="124">
        <f t="shared" si="26"/>
        <v>456825.16039000003</v>
      </c>
      <c r="O24" s="124">
        <f t="shared" si="26"/>
        <v>461393.41199390002</v>
      </c>
      <c r="P24" s="124">
        <f t="shared" si="26"/>
        <v>466007.34611383901</v>
      </c>
      <c r="Q24" s="124">
        <f t="shared" si="26"/>
        <v>470667.41957497742</v>
      </c>
      <c r="R24" s="124">
        <f t="shared" si="26"/>
        <v>475374.09377072722</v>
      </c>
      <c r="S24" s="124">
        <f t="shared" si="26"/>
        <v>480127.83470843453</v>
      </c>
      <c r="T24" s="124">
        <f t="shared" si="26"/>
        <v>484929.11305551889</v>
      </c>
    </row>
    <row r="25" spans="1:20" x14ac:dyDescent="0.2">
      <c r="B25" s="9" t="s">
        <v>282</v>
      </c>
      <c r="F25" s="73"/>
      <c r="G25" s="133">
        <f>G24/F24-1</f>
        <v>-2.0689655172413834E-2</v>
      </c>
      <c r="H25" s="133">
        <f t="shared" ref="H25:I25" si="27">H24/G24-1</f>
        <v>1.8779342723004744E-2</v>
      </c>
      <c r="I25" s="133">
        <f t="shared" si="27"/>
        <v>1.1520737327188835E-2</v>
      </c>
      <c r="J25" s="161"/>
      <c r="K25" s="153">
        <v>0.01</v>
      </c>
      <c r="L25" s="44">
        <f>K25</f>
        <v>0.01</v>
      </c>
      <c r="M25" s="44">
        <f t="shared" ref="M25:T25" si="28">L25</f>
        <v>0.01</v>
      </c>
      <c r="N25" s="44">
        <f t="shared" si="28"/>
        <v>0.01</v>
      </c>
      <c r="O25" s="44">
        <f t="shared" si="28"/>
        <v>0.01</v>
      </c>
      <c r="P25" s="44">
        <f t="shared" si="28"/>
        <v>0.01</v>
      </c>
      <c r="Q25" s="44">
        <f t="shared" si="28"/>
        <v>0.01</v>
      </c>
      <c r="R25" s="44">
        <f t="shared" si="28"/>
        <v>0.01</v>
      </c>
      <c r="S25" s="44">
        <f t="shared" si="28"/>
        <v>0.01</v>
      </c>
      <c r="T25" s="44">
        <f t="shared" si="28"/>
        <v>0.01</v>
      </c>
    </row>
    <row r="26" spans="1:20" x14ac:dyDescent="0.2">
      <c r="J26" s="161"/>
    </row>
    <row r="27" spans="1:20" x14ac:dyDescent="0.2">
      <c r="B27" s="13" t="s">
        <v>311</v>
      </c>
      <c r="J27" s="161"/>
    </row>
    <row r="28" spans="1:20" x14ac:dyDescent="0.2">
      <c r="B28" s="2" t="s">
        <v>447</v>
      </c>
      <c r="F28" s="44">
        <f>F20/F12</f>
        <v>1.8573127544907531E-2</v>
      </c>
      <c r="G28" s="44">
        <f>G20/G12</f>
        <v>1.7569912971459115E-2</v>
      </c>
      <c r="H28" s="44">
        <f>H20/H12</f>
        <v>1.715611337477322E-2</v>
      </c>
      <c r="I28" s="44">
        <f>I20/I12</f>
        <v>1.661000491087131E-2</v>
      </c>
      <c r="J28" s="161"/>
      <c r="K28" s="44">
        <f t="shared" ref="K28:T28" si="29">K20/K12</f>
        <v>1.6364536858001291E-2</v>
      </c>
      <c r="L28" s="44">
        <f t="shared" si="29"/>
        <v>1.6083082907126577E-2</v>
      </c>
      <c r="M28" s="44">
        <f t="shared" si="29"/>
        <v>1.576772834032017E-2</v>
      </c>
      <c r="N28" s="44">
        <f t="shared" si="29"/>
        <v>1.5420761213027065E-2</v>
      </c>
      <c r="O28" s="44">
        <f t="shared" si="29"/>
        <v>1.5044645085880064E-2</v>
      </c>
      <c r="P28" s="44">
        <f t="shared" si="29"/>
        <v>1.4641990351221471E-2</v>
      </c>
      <c r="Q28" s="44">
        <f t="shared" si="29"/>
        <v>1.4215524612836381E-2</v>
      </c>
      <c r="R28" s="44">
        <f t="shared" si="29"/>
        <v>1.3801480206637263E-2</v>
      </c>
      <c r="S28" s="44">
        <f t="shared" si="29"/>
        <v>1.3399495346249768E-2</v>
      </c>
      <c r="T28" s="44">
        <f t="shared" si="29"/>
        <v>1.3009218782766762E-2</v>
      </c>
    </row>
    <row r="29" spans="1:20" x14ac:dyDescent="0.2">
      <c r="B29" s="2" t="s">
        <v>458</v>
      </c>
      <c r="F29" s="73"/>
      <c r="G29" s="133">
        <f>G19/F19-1</f>
        <v>0.11776813280236254</v>
      </c>
      <c r="H29" s="133">
        <f>H19/G19-1</f>
        <v>5.4161162483487457E-2</v>
      </c>
      <c r="I29" s="133">
        <f>I19/H19-1</f>
        <v>-3.7176274018379307E-2</v>
      </c>
      <c r="J29" s="161"/>
      <c r="K29" s="133">
        <f>K19/I19-1</f>
        <v>5.4187192118226868E-2</v>
      </c>
      <c r="L29" s="133">
        <f t="shared" ref="L29:T29" si="30">L19/K19-1</f>
        <v>4.668304668304657E-2</v>
      </c>
      <c r="M29" s="133">
        <f t="shared" si="30"/>
        <v>3.9215686274509887E-2</v>
      </c>
      <c r="N29" s="133">
        <f t="shared" si="30"/>
        <v>3.4229828850856014E-2</v>
      </c>
      <c r="O29" s="133">
        <f t="shared" si="30"/>
        <v>2.9268292682926855E-2</v>
      </c>
      <c r="P29" s="133">
        <f t="shared" si="30"/>
        <v>2.4330900243308751E-2</v>
      </c>
      <c r="Q29" s="133">
        <f t="shared" si="30"/>
        <v>1.9417475728155331E-2</v>
      </c>
      <c r="R29" s="133">
        <f t="shared" si="30"/>
        <v>1.6990291262136026E-2</v>
      </c>
      <c r="S29" s="133">
        <f t="shared" si="30"/>
        <v>1.4563106796116276E-2</v>
      </c>
      <c r="T29" s="133">
        <f t="shared" si="30"/>
        <v>1.4563106796116276E-2</v>
      </c>
    </row>
    <row r="30" spans="1:20" x14ac:dyDescent="0.2">
      <c r="B30" s="2" t="s">
        <v>277</v>
      </c>
      <c r="F30" s="80">
        <f>F20/F24</f>
        <v>57.944827586206898</v>
      </c>
      <c r="G30" s="80">
        <f>G20/G24</f>
        <v>63.044600938967136</v>
      </c>
      <c r="H30" s="80">
        <f>H20/H24</f>
        <v>66.456221198156683</v>
      </c>
      <c r="I30" s="80">
        <f>I20/I24</f>
        <v>67.876993166287022</v>
      </c>
      <c r="J30" s="161"/>
      <c r="K30" s="80">
        <f t="shared" ref="K30:T30" si="31">K20/K24</f>
        <v>70.846590926134823</v>
      </c>
      <c r="L30" s="80">
        <f t="shared" si="31"/>
        <v>73.419728354132943</v>
      </c>
      <c r="M30" s="80">
        <f t="shared" si="31"/>
        <v>75.543498403592437</v>
      </c>
      <c r="N30" s="80">
        <f t="shared" si="31"/>
        <v>77.355781608655761</v>
      </c>
      <c r="O30" s="80">
        <f t="shared" si="31"/>
        <v>78.831537886628183</v>
      </c>
      <c r="P30" s="80">
        <f t="shared" si="31"/>
        <v>79.950079377202329</v>
      </c>
      <c r="Q30" s="80">
        <f t="shared" si="31"/>
        <v>80.695552577201241</v>
      </c>
      <c r="R30" s="80">
        <f t="shared" si="31"/>
        <v>81.25405298915534</v>
      </c>
      <c r="S30" s="80">
        <f t="shared" si="31"/>
        <v>81.621152911340303</v>
      </c>
      <c r="T30" s="80">
        <f t="shared" si="31"/>
        <v>81.98991136436662</v>
      </c>
    </row>
    <row r="31" spans="1:20" x14ac:dyDescent="0.2">
      <c r="B31" s="2" t="s">
        <v>278</v>
      </c>
      <c r="F31" s="80">
        <f>F19/F24</f>
        <v>51.377011494252876</v>
      </c>
      <c r="G31" s="80">
        <f>G19/G24</f>
        <v>58.640845070422536</v>
      </c>
      <c r="H31" s="80">
        <f>H19/H24</f>
        <v>60.677419354838712</v>
      </c>
      <c r="I31" s="80">
        <f>I19/I24</f>
        <v>57.756264236902048</v>
      </c>
      <c r="J31" s="161"/>
      <c r="K31" s="80">
        <f t="shared" ref="K31:T31" si="32">K19/K24</f>
        <v>60.283083191225877</v>
      </c>
      <c r="L31" s="80">
        <f t="shared" si="32"/>
        <v>62.472555621821634</v>
      </c>
      <c r="M31" s="80">
        <f t="shared" si="32"/>
        <v>64.279663132528569</v>
      </c>
      <c r="N31" s="80">
        <f t="shared" si="32"/>
        <v>65.821727722916535</v>
      </c>
      <c r="O31" s="80">
        <f t="shared" si="32"/>
        <v>67.077442885947306</v>
      </c>
      <c r="P31" s="80">
        <f t="shared" si="32"/>
        <v>68.029205403348044</v>
      </c>
      <c r="Q31" s="80">
        <f t="shared" si="32"/>
        <v>68.663525592151743</v>
      </c>
      <c r="R31" s="80">
        <f t="shared" si="32"/>
        <v>69.138751377274772</v>
      </c>
      <c r="S31" s="80">
        <f t="shared" si="32"/>
        <v>69.451115244883326</v>
      </c>
      <c r="T31" s="80">
        <f t="shared" si="32"/>
        <v>69.764890349805881</v>
      </c>
    </row>
    <row r="32" spans="1:20" x14ac:dyDescent="0.2">
      <c r="B32" s="2" t="s">
        <v>281</v>
      </c>
      <c r="F32" s="80">
        <f>F12/F24</f>
        <v>3119.8206896551724</v>
      </c>
      <c r="G32" s="80">
        <f>G12/G24</f>
        <v>3588.2136150234742</v>
      </c>
      <c r="H32" s="80">
        <f>H12/H24</f>
        <v>3873.6175115207375</v>
      </c>
      <c r="I32" s="80">
        <f>I12/I24</f>
        <v>4086.5125284738042</v>
      </c>
      <c r="J32" s="161"/>
      <c r="K32" s="80">
        <f t="shared" ref="K32:T32" si="33">K12/K24</f>
        <v>4329.2756489771982</v>
      </c>
      <c r="L32" s="80">
        <f t="shared" si="33"/>
        <v>4565.0282833274414</v>
      </c>
      <c r="M32" s="80">
        <f t="shared" si="33"/>
        <v>4791.0197825020678</v>
      </c>
      <c r="N32" s="80">
        <f t="shared" si="33"/>
        <v>5016.3400197979572</v>
      </c>
      <c r="O32" s="80">
        <f t="shared" si="33"/>
        <v>5239.840317709748</v>
      </c>
      <c r="P32" s="80">
        <f t="shared" si="33"/>
        <v>5460.3286479104045</v>
      </c>
      <c r="Q32" s="80">
        <f t="shared" si="33"/>
        <v>5676.5792874316094</v>
      </c>
      <c r="R32" s="80">
        <f t="shared" si="33"/>
        <v>5887.3433698857534</v>
      </c>
      <c r="S32" s="80">
        <f t="shared" si="33"/>
        <v>6091.360219337239</v>
      </c>
      <c r="T32" s="80">
        <f t="shared" si="33"/>
        <v>6302.4469596113013</v>
      </c>
    </row>
    <row r="33" spans="1:20" x14ac:dyDescent="0.2">
      <c r="B33" s="9" t="s">
        <v>282</v>
      </c>
      <c r="F33" s="80"/>
      <c r="G33" s="133">
        <f>G32/F32-1</f>
        <v>0.15013456604138109</v>
      </c>
      <c r="H33" s="133">
        <f t="shared" ref="H33" si="34">H32/G32-1</f>
        <v>7.953927138069683E-2</v>
      </c>
      <c r="I33" s="133">
        <f>I32/H32-1</f>
        <v>5.4960257774518073E-2</v>
      </c>
      <c r="J33" s="161"/>
      <c r="K33" s="133">
        <f>K32/I32-1</f>
        <v>5.9405940594059237E-2</v>
      </c>
      <c r="L33" s="133">
        <f t="shared" ref="L33:T33" si="35">L32/K32-1</f>
        <v>5.4455445544554282E-2</v>
      </c>
      <c r="M33" s="133">
        <f t="shared" si="35"/>
        <v>4.9504950495049549E-2</v>
      </c>
      <c r="N33" s="133">
        <f t="shared" si="35"/>
        <v>4.7029702970297071E-2</v>
      </c>
      <c r="O33" s="133">
        <f t="shared" si="35"/>
        <v>4.4554455445544594E-2</v>
      </c>
      <c r="P33" s="133">
        <f t="shared" si="35"/>
        <v>4.2079207920791895E-2</v>
      </c>
      <c r="Q33" s="133">
        <f t="shared" si="35"/>
        <v>3.9603960396039639E-2</v>
      </c>
      <c r="R33" s="133">
        <f t="shared" si="35"/>
        <v>3.7128712871287162E-2</v>
      </c>
      <c r="S33" s="133">
        <f t="shared" si="35"/>
        <v>3.4653465346534462E-2</v>
      </c>
      <c r="T33" s="133">
        <f t="shared" si="35"/>
        <v>3.4653465346534684E-2</v>
      </c>
    </row>
    <row r="34" spans="1:20" x14ac:dyDescent="0.2">
      <c r="B34" s="2" t="s">
        <v>459</v>
      </c>
      <c r="G34" s="44">
        <f>G20/F20-1</f>
        <v>6.5500277711656008E-2</v>
      </c>
      <c r="H34" s="44">
        <f>H20/G20-1</f>
        <v>7.3909967606210714E-2</v>
      </c>
      <c r="I34" s="44">
        <f>I20/H20-1</f>
        <v>3.314610637265103E-2</v>
      </c>
      <c r="J34" s="161"/>
      <c r="K34" s="44">
        <f>K20/I20-1</f>
        <v>5.4187192118226646E-2</v>
      </c>
      <c r="L34" s="44">
        <f t="shared" ref="L34:T34" si="36">L20/K20-1</f>
        <v>4.668304668304657E-2</v>
      </c>
      <c r="M34" s="44">
        <f t="shared" si="36"/>
        <v>3.9215686274509887E-2</v>
      </c>
      <c r="N34" s="44">
        <f t="shared" si="36"/>
        <v>3.4229828850856014E-2</v>
      </c>
      <c r="O34" s="44">
        <f t="shared" si="36"/>
        <v>2.9268292682926855E-2</v>
      </c>
      <c r="P34" s="44">
        <f t="shared" si="36"/>
        <v>2.4330900243308751E-2</v>
      </c>
      <c r="Q34" s="44">
        <f t="shared" si="36"/>
        <v>1.9417475728155553E-2</v>
      </c>
      <c r="R34" s="44">
        <f t="shared" si="36"/>
        <v>1.6990291262136026E-2</v>
      </c>
      <c r="S34" s="44">
        <f t="shared" si="36"/>
        <v>1.4563106796116276E-2</v>
      </c>
      <c r="T34" s="44">
        <f t="shared" si="36"/>
        <v>1.4563106796116276E-2</v>
      </c>
    </row>
    <row r="35" spans="1:20" x14ac:dyDescent="0.2">
      <c r="J35" s="161"/>
    </row>
    <row r="36" spans="1:20" x14ac:dyDescent="0.2">
      <c r="J36" s="161"/>
    </row>
    <row r="37" spans="1:20" s="14" customFormat="1" x14ac:dyDescent="0.2">
      <c r="A37" s="13"/>
      <c r="B37" s="76" t="str">
        <f>B55</f>
        <v>Revenue</v>
      </c>
      <c r="D37" s="77">
        <f t="shared" ref="D37:I37" si="37">+D55/C55-1</f>
        <v>0.20717983344586988</v>
      </c>
      <c r="E37" s="77">
        <f t="shared" si="37"/>
        <v>0.18257667567819524</v>
      </c>
      <c r="F37" s="148">
        <f t="shared" si="37"/>
        <v>8.4624177210200546E-2</v>
      </c>
      <c r="G37" s="149">
        <f t="shared" si="37"/>
        <v>8.1873682680427384E-2</v>
      </c>
      <c r="H37" s="148">
        <f t="shared" si="37"/>
        <v>6.8052803063383793E-2</v>
      </c>
      <c r="I37" s="148">
        <f t="shared" si="37"/>
        <v>4.3243073245903707E-2</v>
      </c>
      <c r="J37" s="162"/>
      <c r="K37" s="148">
        <f>+K55/I55-1</f>
        <v>5.5795548979227005E-2</v>
      </c>
      <c r="L37" s="148">
        <f>+L55/K55-1</f>
        <v>4.8571171110921796E-2</v>
      </c>
      <c r="M37" s="148">
        <f t="shared" ref="M37" si="38">+M55/L55-1</f>
        <v>4.139171566137767E-2</v>
      </c>
      <c r="N37" s="148">
        <f t="shared" ref="N37" si="39">+N55/M55-1</f>
        <v>3.6709650180639875E-2</v>
      </c>
      <c r="O37" s="148">
        <f t="shared" ref="O37" si="40">+O55/N55-1</f>
        <v>3.2065422684885547E-2</v>
      </c>
      <c r="P37" s="148">
        <f t="shared" ref="P37" si="41">+P55/O55-1</f>
        <v>2.7461029327527031E-2</v>
      </c>
      <c r="Q37" s="148">
        <f t="shared" ref="Q37" si="42">+Q55/P55-1</f>
        <v>2.2898598620538335E-2</v>
      </c>
      <c r="R37" s="148">
        <f t="shared" ref="R37" si="43">+R55/Q55-1</f>
        <v>2.0555137508566412E-2</v>
      </c>
      <c r="S37" s="148">
        <f t="shared" ref="S37" si="44">+S55/R55-1</f>
        <v>1.8213340076616902E-2</v>
      </c>
      <c r="T37" s="148">
        <f t="shared" ref="T37" si="45">+T55/S55-1</f>
        <v>1.8309368633381062E-2</v>
      </c>
    </row>
    <row r="38" spans="1:20" s="135" customFormat="1" x14ac:dyDescent="0.2">
      <c r="A38" s="123"/>
      <c r="B38" s="150" t="s">
        <v>461</v>
      </c>
      <c r="C38" s="151">
        <f t="shared" ref="C38:E38" si="46">-C56/C55</f>
        <v>0.38206167004276392</v>
      </c>
      <c r="D38" s="151">
        <f t="shared" si="46"/>
        <v>0.36981448680898665</v>
      </c>
      <c r="E38" s="151">
        <f t="shared" si="46"/>
        <v>0.40656655236293404</v>
      </c>
      <c r="F38" s="152">
        <f>-F56/F55</f>
        <v>0.4423649974562105</v>
      </c>
      <c r="G38" s="152">
        <f t="shared" ref="G38:I38" si="47">-G56/G55</f>
        <v>0.48318833764401597</v>
      </c>
      <c r="H38" s="152">
        <f t="shared" si="47"/>
        <v>0.49366292417523666</v>
      </c>
      <c r="I38" s="152">
        <f t="shared" si="47"/>
        <v>0.48194260219462198</v>
      </c>
      <c r="J38" s="161"/>
      <c r="K38" s="153">
        <f>I38</f>
        <v>0.48194260219462198</v>
      </c>
      <c r="L38" s="152">
        <f>K38</f>
        <v>0.48194260219462198</v>
      </c>
      <c r="M38" s="152">
        <f t="shared" ref="M38:S38" si="48">L38</f>
        <v>0.48194260219462198</v>
      </c>
      <c r="N38" s="152">
        <f t="shared" si="48"/>
        <v>0.48194260219462198</v>
      </c>
      <c r="O38" s="152">
        <f t="shared" si="48"/>
        <v>0.48194260219462198</v>
      </c>
      <c r="P38" s="152">
        <f t="shared" si="48"/>
        <v>0.48194260219462198</v>
      </c>
      <c r="Q38" s="152">
        <f t="shared" si="48"/>
        <v>0.48194260219462198</v>
      </c>
      <c r="R38" s="152">
        <f t="shared" si="48"/>
        <v>0.48194260219462198</v>
      </c>
      <c r="S38" s="152">
        <f t="shared" si="48"/>
        <v>0.48194260219462198</v>
      </c>
      <c r="T38" s="152">
        <f t="shared" ref="T38:T44" si="49">S38</f>
        <v>0.48194260219462198</v>
      </c>
    </row>
    <row r="39" spans="1:20" s="135" customFormat="1" x14ac:dyDescent="0.2">
      <c r="A39" s="123"/>
      <c r="B39" s="150" t="s">
        <v>462</v>
      </c>
      <c r="C39" s="151">
        <f t="shared" ref="C39:I42" si="50">-C57/C$55</f>
        <v>7.7650236326806218E-2</v>
      </c>
      <c r="D39" s="151">
        <f t="shared" si="50"/>
        <v>8.1150368229700759E-2</v>
      </c>
      <c r="E39" s="151">
        <f t="shared" si="50"/>
        <v>4.1779985022269518E-2</v>
      </c>
      <c r="F39" s="152">
        <f>F57/-F55</f>
        <v>5.7126244639872086E-2</v>
      </c>
      <c r="G39" s="152">
        <f t="shared" ref="G39:I39" si="51">G57/-G55</f>
        <v>5.6497934231298917E-2</v>
      </c>
      <c r="H39" s="152">
        <f t="shared" si="51"/>
        <v>4.5350190269522285E-2</v>
      </c>
      <c r="I39" s="152">
        <f t="shared" si="51"/>
        <v>5.1850958639816716E-2</v>
      </c>
      <c r="J39" s="161"/>
      <c r="K39" s="153">
        <f>I39</f>
        <v>5.1850958639816716E-2</v>
      </c>
      <c r="L39" s="152">
        <f t="shared" ref="L39:S51" si="52">K39</f>
        <v>5.1850958639816716E-2</v>
      </c>
      <c r="M39" s="152">
        <f t="shared" si="52"/>
        <v>5.1850958639816716E-2</v>
      </c>
      <c r="N39" s="152">
        <f t="shared" si="52"/>
        <v>5.1850958639816716E-2</v>
      </c>
      <c r="O39" s="152">
        <f t="shared" si="52"/>
        <v>5.1850958639816716E-2</v>
      </c>
      <c r="P39" s="152">
        <f t="shared" si="52"/>
        <v>5.1850958639816716E-2</v>
      </c>
      <c r="Q39" s="152">
        <f t="shared" si="52"/>
        <v>5.1850958639816716E-2</v>
      </c>
      <c r="R39" s="152">
        <f t="shared" si="52"/>
        <v>5.1850958639816716E-2</v>
      </c>
      <c r="S39" s="152">
        <f t="shared" si="52"/>
        <v>5.1850958639816716E-2</v>
      </c>
      <c r="T39" s="152">
        <f t="shared" si="49"/>
        <v>5.1850958639816716E-2</v>
      </c>
    </row>
    <row r="40" spans="1:20" x14ac:dyDescent="0.2">
      <c r="B40" s="10" t="s">
        <v>463</v>
      </c>
      <c r="C40" s="8">
        <f t="shared" si="50"/>
        <v>9.0873283817240608E-2</v>
      </c>
      <c r="D40" s="8">
        <f t="shared" si="50"/>
        <v>8.2874988347161366E-2</v>
      </c>
      <c r="E40" s="8">
        <f t="shared" si="50"/>
        <v>8.1786291435103076E-2</v>
      </c>
      <c r="F40" s="134">
        <f>-F58/F$55</f>
        <v>7.7040482593211709E-2</v>
      </c>
      <c r="G40" s="134">
        <f t="shared" si="50"/>
        <v>6.4458701420845796E-2</v>
      </c>
      <c r="H40" s="134">
        <f t="shared" si="50"/>
        <v>5.560272981727836E-2</v>
      </c>
      <c r="I40" s="134">
        <f t="shared" si="50"/>
        <v>5.1368624140841673E-2</v>
      </c>
      <c r="J40" s="161"/>
      <c r="K40" s="153">
        <v>0.06</v>
      </c>
      <c r="L40" s="134">
        <f t="shared" si="52"/>
        <v>0.06</v>
      </c>
      <c r="M40" s="134">
        <f t="shared" si="52"/>
        <v>0.06</v>
      </c>
      <c r="N40" s="134">
        <f t="shared" si="52"/>
        <v>0.06</v>
      </c>
      <c r="O40" s="134">
        <f t="shared" si="52"/>
        <v>0.06</v>
      </c>
      <c r="P40" s="134">
        <f t="shared" si="52"/>
        <v>0.06</v>
      </c>
      <c r="Q40" s="134">
        <f t="shared" si="52"/>
        <v>0.06</v>
      </c>
      <c r="R40" s="134">
        <f t="shared" si="52"/>
        <v>0.06</v>
      </c>
      <c r="S40" s="134">
        <f t="shared" si="52"/>
        <v>0.06</v>
      </c>
      <c r="T40" s="134">
        <f t="shared" si="49"/>
        <v>0.06</v>
      </c>
    </row>
    <row r="41" spans="1:20" x14ac:dyDescent="0.2">
      <c r="B41" s="10" t="s">
        <v>464</v>
      </c>
      <c r="C41" s="8">
        <f t="shared" si="50"/>
        <v>7.8831870357866304E-2</v>
      </c>
      <c r="D41" s="8">
        <f t="shared" si="50"/>
        <v>8.674373077281626E-2</v>
      </c>
      <c r="E41" s="8">
        <f t="shared" si="50"/>
        <v>9.6369871112687716E-2</v>
      </c>
      <c r="F41" s="134">
        <f>-F59/F$55</f>
        <v>8.2019042081546631E-2</v>
      </c>
      <c r="G41" s="134">
        <f t="shared" si="50"/>
        <v>6.0763830573376774E-2</v>
      </c>
      <c r="H41" s="134">
        <f t="shared" si="50"/>
        <v>6.2930465138220593E-2</v>
      </c>
      <c r="I41" s="134">
        <f t="shared" si="50"/>
        <v>6.8823103822500911E-2</v>
      </c>
      <c r="J41" s="161"/>
      <c r="K41" s="153">
        <v>0.06</v>
      </c>
      <c r="L41" s="134">
        <f t="shared" si="52"/>
        <v>0.06</v>
      </c>
      <c r="M41" s="134">
        <f t="shared" si="52"/>
        <v>0.06</v>
      </c>
      <c r="N41" s="134">
        <f t="shared" si="52"/>
        <v>0.06</v>
      </c>
      <c r="O41" s="134">
        <f t="shared" si="52"/>
        <v>0.06</v>
      </c>
      <c r="P41" s="134">
        <f t="shared" si="52"/>
        <v>0.06</v>
      </c>
      <c r="Q41" s="134">
        <f t="shared" si="52"/>
        <v>0.06</v>
      </c>
      <c r="R41" s="134">
        <f t="shared" si="52"/>
        <v>0.06</v>
      </c>
      <c r="S41" s="134">
        <f t="shared" si="52"/>
        <v>0.06</v>
      </c>
      <c r="T41" s="134">
        <f t="shared" si="49"/>
        <v>0.06</v>
      </c>
    </row>
    <row r="42" spans="1:20" x14ac:dyDescent="0.2">
      <c r="B42" s="10" t="s">
        <v>465</v>
      </c>
      <c r="C42" s="8">
        <f t="shared" si="50"/>
        <v>0.11731937879810939</v>
      </c>
      <c r="D42" s="8">
        <f t="shared" si="50"/>
        <v>0.12314719865759299</v>
      </c>
      <c r="E42" s="8">
        <f t="shared" si="50"/>
        <v>0.11974301367703283</v>
      </c>
      <c r="F42" s="134">
        <f>-F60/F$55</f>
        <v>0.1182135329602442</v>
      </c>
      <c r="G42" s="134">
        <f t="shared" si="50"/>
        <v>9.9862282086594339E-2</v>
      </c>
      <c r="H42" s="134">
        <f t="shared" si="50"/>
        <v>9.3688083781488823E-2</v>
      </c>
      <c r="I42" s="134">
        <f t="shared" si="50"/>
        <v>9.3542746894971662E-2</v>
      </c>
      <c r="J42" s="161"/>
      <c r="K42" s="153">
        <v>0.09</v>
      </c>
      <c r="L42" s="134">
        <f t="shared" si="52"/>
        <v>0.09</v>
      </c>
      <c r="M42" s="134">
        <f t="shared" si="52"/>
        <v>0.09</v>
      </c>
      <c r="N42" s="134">
        <f t="shared" si="52"/>
        <v>0.09</v>
      </c>
      <c r="O42" s="134">
        <f t="shared" si="52"/>
        <v>0.09</v>
      </c>
      <c r="P42" s="134">
        <f t="shared" si="52"/>
        <v>0.09</v>
      </c>
      <c r="Q42" s="134">
        <f t="shared" si="52"/>
        <v>0.09</v>
      </c>
      <c r="R42" s="134">
        <f t="shared" si="52"/>
        <v>0.09</v>
      </c>
      <c r="S42" s="134">
        <f t="shared" si="52"/>
        <v>0.09</v>
      </c>
      <c r="T42" s="134">
        <f t="shared" si="49"/>
        <v>0.09</v>
      </c>
    </row>
    <row r="43" spans="1:20" x14ac:dyDescent="0.2">
      <c r="B43" s="10" t="s">
        <v>466</v>
      </c>
      <c r="C43" s="8">
        <f t="shared" ref="C43:I43" si="53">-C61/C55</f>
        <v>9.6275039387801034E-2</v>
      </c>
      <c r="D43" s="8">
        <f t="shared" si="53"/>
        <v>9.6485503868742425E-2</v>
      </c>
      <c r="E43" s="8">
        <f t="shared" si="53"/>
        <v>8.3323479563280914E-2</v>
      </c>
      <c r="F43" s="134">
        <f t="shared" si="53"/>
        <v>7.6277345737335564E-2</v>
      </c>
      <c r="G43" s="134">
        <f t="shared" si="53"/>
        <v>6.9161264317624538E-2</v>
      </c>
      <c r="H43" s="134">
        <f t="shared" si="53"/>
        <v>6.7522093279240178E-2</v>
      </c>
      <c r="I43" s="134">
        <f t="shared" si="53"/>
        <v>5.9658748341975161E-2</v>
      </c>
      <c r="J43" s="161"/>
      <c r="K43" s="153">
        <v>7.0000000000000007E-2</v>
      </c>
      <c r="L43" s="134">
        <f t="shared" si="52"/>
        <v>7.0000000000000007E-2</v>
      </c>
      <c r="M43" s="134">
        <f t="shared" si="52"/>
        <v>7.0000000000000007E-2</v>
      </c>
      <c r="N43" s="134">
        <f t="shared" si="52"/>
        <v>7.0000000000000007E-2</v>
      </c>
      <c r="O43" s="134">
        <f t="shared" si="52"/>
        <v>7.0000000000000007E-2</v>
      </c>
      <c r="P43" s="134">
        <f t="shared" si="52"/>
        <v>7.0000000000000007E-2</v>
      </c>
      <c r="Q43" s="134">
        <f t="shared" si="52"/>
        <v>7.0000000000000007E-2</v>
      </c>
      <c r="R43" s="134">
        <f t="shared" si="52"/>
        <v>7.0000000000000007E-2</v>
      </c>
      <c r="S43" s="134">
        <f t="shared" si="52"/>
        <v>7.0000000000000007E-2</v>
      </c>
      <c r="T43" s="134">
        <f t="shared" si="49"/>
        <v>7.0000000000000007E-2</v>
      </c>
    </row>
    <row r="44" spans="1:20" x14ac:dyDescent="0.2">
      <c r="B44" s="10" t="s">
        <v>467</v>
      </c>
      <c r="C44" s="8">
        <f t="shared" ref="C44:I44" si="54">-C62/C55</f>
        <v>3.9950483907269865E-3</v>
      </c>
      <c r="D44" s="8">
        <f t="shared" si="54"/>
        <v>6.4789782791087906E-3</v>
      </c>
      <c r="E44" s="8">
        <f t="shared" si="54"/>
        <v>2.44373497300067E-3</v>
      </c>
      <c r="F44" s="134">
        <f t="shared" si="54"/>
        <v>7.5223490079220877E-3</v>
      </c>
      <c r="G44" s="134">
        <f t="shared" si="54"/>
        <v>-2.8215377380672465E-3</v>
      </c>
      <c r="H44" s="134">
        <f t="shared" si="54"/>
        <v>1.3774884423058778E-2</v>
      </c>
      <c r="I44" s="134">
        <f t="shared" si="54"/>
        <v>9.9782949475461236E-3</v>
      </c>
      <c r="J44" s="161"/>
      <c r="K44" s="153">
        <v>0.01</v>
      </c>
      <c r="L44" s="134">
        <f t="shared" si="52"/>
        <v>0.01</v>
      </c>
      <c r="M44" s="134">
        <f t="shared" si="52"/>
        <v>0.01</v>
      </c>
      <c r="N44" s="134">
        <f t="shared" si="52"/>
        <v>0.01</v>
      </c>
      <c r="O44" s="134">
        <f t="shared" si="52"/>
        <v>0.01</v>
      </c>
      <c r="P44" s="134">
        <f t="shared" si="52"/>
        <v>0.01</v>
      </c>
      <c r="Q44" s="134">
        <f t="shared" si="52"/>
        <v>0.01</v>
      </c>
      <c r="R44" s="134">
        <f t="shared" si="52"/>
        <v>0.01</v>
      </c>
      <c r="S44" s="134">
        <f t="shared" si="52"/>
        <v>0.01</v>
      </c>
      <c r="T44" s="134">
        <f t="shared" si="49"/>
        <v>0.01</v>
      </c>
    </row>
    <row r="45" spans="1:20" s="14" customFormat="1" x14ac:dyDescent="0.2">
      <c r="A45" s="76"/>
      <c r="B45" s="76" t="str">
        <f t="shared" ref="B45:B46" si="55">B63</f>
        <v>EBIT</v>
      </c>
      <c r="C45" s="77">
        <f t="shared" ref="C45:I45" si="56">+C63/C55</f>
        <v>0.15299347287868556</v>
      </c>
      <c r="D45" s="77">
        <f t="shared" si="56"/>
        <v>0.15330474503589075</v>
      </c>
      <c r="E45" s="77">
        <f t="shared" si="56"/>
        <v>0.16798707185369122</v>
      </c>
      <c r="F45" s="148">
        <f t="shared" si="56"/>
        <v>0.13943600552365723</v>
      </c>
      <c r="G45" s="148">
        <f t="shared" si="56"/>
        <v>0.16888918746431092</v>
      </c>
      <c r="H45" s="148">
        <f t="shared" si="56"/>
        <v>0.16746862911595434</v>
      </c>
      <c r="I45" s="148">
        <f t="shared" si="56"/>
        <v>0.1828349210177258</v>
      </c>
      <c r="J45" s="162"/>
      <c r="K45" s="148">
        <f>+K63/K55</f>
        <v>0.17620643916556122</v>
      </c>
      <c r="L45" s="148">
        <f>+L63/L55</f>
        <v>0.17620643916556133</v>
      </c>
      <c r="M45" s="148">
        <f t="shared" ref="M45:S45" si="57">+M63/M55</f>
        <v>0.17620643916556133</v>
      </c>
      <c r="N45" s="148">
        <f t="shared" si="57"/>
        <v>0.17620643916556131</v>
      </c>
      <c r="O45" s="148">
        <f t="shared" si="57"/>
        <v>0.17620643916556133</v>
      </c>
      <c r="P45" s="148">
        <f t="shared" si="57"/>
        <v>0.17620643916556125</v>
      </c>
      <c r="Q45" s="148">
        <f t="shared" si="57"/>
        <v>0.17620643916556125</v>
      </c>
      <c r="R45" s="148">
        <f t="shared" si="57"/>
        <v>0.17620643916556128</v>
      </c>
      <c r="S45" s="148">
        <f t="shared" si="57"/>
        <v>0.17620643916556128</v>
      </c>
      <c r="T45" s="148">
        <f t="shared" ref="T45" si="58">+T63/T55</f>
        <v>0.17620643916556131</v>
      </c>
    </row>
    <row r="46" spans="1:20" s="7" customFormat="1" x14ac:dyDescent="0.2">
      <c r="A46" s="2"/>
      <c r="B46" s="10" t="str">
        <f t="shared" si="55"/>
        <v>Depreciation &amp; Amortisation</v>
      </c>
      <c r="C46" s="8"/>
      <c r="D46" s="8">
        <f t="shared" ref="D46:I46" si="59">-D64/D55</f>
        <v>5.5420900531369444E-2</v>
      </c>
      <c r="E46" s="8">
        <f t="shared" si="59"/>
        <v>4.9860076465255608E-2</v>
      </c>
      <c r="F46" s="134">
        <f t="shared" si="59"/>
        <v>4.7859582818518785E-2</v>
      </c>
      <c r="G46" s="134">
        <f t="shared" si="59"/>
        <v>3.6008195895334383E-2</v>
      </c>
      <c r="H46" s="134">
        <f t="shared" si="59"/>
        <v>3.2455892065289177E-2</v>
      </c>
      <c r="I46" s="134">
        <f t="shared" si="59"/>
        <v>2.9030507657060171E-2</v>
      </c>
      <c r="J46" s="163"/>
      <c r="K46" s="153">
        <v>0.03</v>
      </c>
      <c r="L46" s="134">
        <f t="shared" si="52"/>
        <v>0.03</v>
      </c>
      <c r="M46" s="134">
        <f t="shared" si="52"/>
        <v>0.03</v>
      </c>
      <c r="N46" s="134">
        <f t="shared" si="52"/>
        <v>0.03</v>
      </c>
      <c r="O46" s="134">
        <f t="shared" si="52"/>
        <v>0.03</v>
      </c>
      <c r="P46" s="134">
        <f t="shared" si="52"/>
        <v>0.03</v>
      </c>
      <c r="Q46" s="134">
        <f t="shared" si="52"/>
        <v>0.03</v>
      </c>
      <c r="R46" s="134">
        <f t="shared" si="52"/>
        <v>0.03</v>
      </c>
      <c r="S46" s="134">
        <f t="shared" si="52"/>
        <v>0.03</v>
      </c>
      <c r="T46" s="134">
        <f>S46</f>
        <v>0.03</v>
      </c>
    </row>
    <row r="47" spans="1:20" s="7" customFormat="1" x14ac:dyDescent="0.2">
      <c r="A47" s="5"/>
      <c r="B47" s="10" t="s">
        <v>31</v>
      </c>
      <c r="C47" s="8"/>
      <c r="D47" s="8">
        <f t="shared" ref="D47:I47" si="60">-D95/D55</f>
        <v>4.0365433019483546E-2</v>
      </c>
      <c r="E47" s="8">
        <f t="shared" si="60"/>
        <v>3.5788892830396907E-2</v>
      </c>
      <c r="F47" s="134">
        <f t="shared" si="60"/>
        <v>2.5655934297550694E-2</v>
      </c>
      <c r="G47" s="134">
        <f t="shared" si="60"/>
        <v>2.0926404890665412E-2</v>
      </c>
      <c r="H47" s="134">
        <f t="shared" si="60"/>
        <v>2.1480013837783439E-2</v>
      </c>
      <c r="I47" s="134">
        <f t="shared" si="60"/>
        <v>2.5684312070420837E-2</v>
      </c>
      <c r="J47" s="163"/>
      <c r="K47" s="153">
        <v>0.02</v>
      </c>
      <c r="L47" s="134">
        <f t="shared" si="52"/>
        <v>0.02</v>
      </c>
      <c r="M47" s="134">
        <f t="shared" si="52"/>
        <v>0.02</v>
      </c>
      <c r="N47" s="134">
        <f t="shared" si="52"/>
        <v>0.02</v>
      </c>
      <c r="O47" s="134">
        <f t="shared" si="52"/>
        <v>0.02</v>
      </c>
      <c r="P47" s="134">
        <f t="shared" si="52"/>
        <v>0.02</v>
      </c>
      <c r="Q47" s="134">
        <f t="shared" si="52"/>
        <v>0.02</v>
      </c>
      <c r="R47" s="134">
        <f t="shared" si="52"/>
        <v>0.02</v>
      </c>
      <c r="S47" s="134">
        <f t="shared" si="52"/>
        <v>0.02</v>
      </c>
      <c r="T47" s="134">
        <f>S47</f>
        <v>0.02</v>
      </c>
    </row>
    <row r="48" spans="1:20" s="14" customFormat="1" x14ac:dyDescent="0.2">
      <c r="A48" s="13"/>
      <c r="B48" s="76" t="str">
        <f>B65</f>
        <v>EBITDA</v>
      </c>
      <c r="C48" s="77">
        <f t="shared" ref="C48:I48" si="61">+C65/C55</f>
        <v>0.20431015079900969</v>
      </c>
      <c r="D48" s="77">
        <f t="shared" si="61"/>
        <v>0.2087256455672602</v>
      </c>
      <c r="E48" s="77">
        <f t="shared" si="61"/>
        <v>0.21784714831894683</v>
      </c>
      <c r="F48" s="148">
        <f t="shared" si="61"/>
        <v>0.18729558834217602</v>
      </c>
      <c r="G48" s="149">
        <f t="shared" si="61"/>
        <v>0.2048973833596453</v>
      </c>
      <c r="H48" s="149">
        <f t="shared" si="61"/>
        <v>0.19992452118124351</v>
      </c>
      <c r="I48" s="149">
        <f t="shared" si="61"/>
        <v>0.21186542867478597</v>
      </c>
      <c r="J48" s="162"/>
      <c r="K48" s="149">
        <f>+K65/K55</f>
        <v>0.20620643916556122</v>
      </c>
      <c r="L48" s="148">
        <f>+L65/L55</f>
        <v>0.20620643916556133</v>
      </c>
      <c r="M48" s="148">
        <f t="shared" ref="M48:S48" si="62">+M65/M55</f>
        <v>0.20620643916556133</v>
      </c>
      <c r="N48" s="148">
        <f t="shared" si="62"/>
        <v>0.20620643916556131</v>
      </c>
      <c r="O48" s="148">
        <f t="shared" si="62"/>
        <v>0.20620643916556131</v>
      </c>
      <c r="P48" s="148">
        <f t="shared" si="62"/>
        <v>0.20620643916556125</v>
      </c>
      <c r="Q48" s="148">
        <f t="shared" si="62"/>
        <v>0.20620643916556122</v>
      </c>
      <c r="R48" s="148">
        <f t="shared" si="62"/>
        <v>0.20620643916556128</v>
      </c>
      <c r="S48" s="148">
        <f t="shared" si="62"/>
        <v>0.20620643916556131</v>
      </c>
      <c r="T48" s="148">
        <f t="shared" ref="T48" si="63">+T65/T55</f>
        <v>0.20620643916556131</v>
      </c>
    </row>
    <row r="49" spans="1:20" s="7" customFormat="1" x14ac:dyDescent="0.2">
      <c r="A49" s="2"/>
      <c r="B49" s="17" t="str">
        <f>B66</f>
        <v>Non Operating income / expense</v>
      </c>
      <c r="C49" s="8">
        <f t="shared" ref="C49:I49" si="64">+C66/C55</f>
        <v>1.5698852126941255E-2</v>
      </c>
      <c r="D49" s="8">
        <f t="shared" si="64"/>
        <v>8.2781765638109447E-2</v>
      </c>
      <c r="E49" s="8">
        <f t="shared" si="64"/>
        <v>-6.4246580741791808E-3</v>
      </c>
      <c r="F49" s="134">
        <f t="shared" si="64"/>
        <v>-1.7116069481793734E-2</v>
      </c>
      <c r="G49" s="134">
        <f t="shared" si="64"/>
        <v>1.2864868496187565E-2</v>
      </c>
      <c r="H49" s="134">
        <f t="shared" si="64"/>
        <v>1.2579803126081077E-4</v>
      </c>
      <c r="I49" s="134">
        <f t="shared" si="64"/>
        <v>6.8431207042083681E-3</v>
      </c>
      <c r="J49" s="163"/>
      <c r="K49" s="153">
        <v>0</v>
      </c>
      <c r="L49" s="134">
        <f t="shared" si="52"/>
        <v>0</v>
      </c>
      <c r="M49" s="134">
        <f t="shared" si="52"/>
        <v>0</v>
      </c>
      <c r="N49" s="134">
        <f t="shared" si="52"/>
        <v>0</v>
      </c>
      <c r="O49" s="134">
        <f t="shared" si="52"/>
        <v>0</v>
      </c>
      <c r="P49" s="134">
        <f t="shared" si="52"/>
        <v>0</v>
      </c>
      <c r="Q49" s="134">
        <f t="shared" si="52"/>
        <v>0</v>
      </c>
      <c r="R49" s="134">
        <f t="shared" si="52"/>
        <v>0</v>
      </c>
      <c r="S49" s="134">
        <f t="shared" si="52"/>
        <v>0</v>
      </c>
      <c r="T49" s="134">
        <f>S49</f>
        <v>0</v>
      </c>
    </row>
    <row r="50" spans="1:20" s="78" customFormat="1" x14ac:dyDescent="0.2">
      <c r="A50" s="13"/>
      <c r="B50" s="76" t="str">
        <f>B67</f>
        <v>EBT</v>
      </c>
      <c r="C50" s="77">
        <f t="shared" ref="C50:I50" si="65">+C67/C55</f>
        <v>0.16869232500562684</v>
      </c>
      <c r="D50" s="77">
        <f t="shared" si="65"/>
        <v>0.23608651067400019</v>
      </c>
      <c r="E50" s="77">
        <f t="shared" si="65"/>
        <v>0.16156241377951205</v>
      </c>
      <c r="F50" s="148">
        <f t="shared" si="65"/>
        <v>0.1223199360418635</v>
      </c>
      <c r="G50" s="149">
        <f t="shared" si="65"/>
        <v>0.18175405596049848</v>
      </c>
      <c r="H50" s="148">
        <f t="shared" si="65"/>
        <v>0.16759442714721515</v>
      </c>
      <c r="I50" s="148">
        <f t="shared" si="65"/>
        <v>0.18967804172193417</v>
      </c>
      <c r="J50" s="164"/>
      <c r="K50" s="148">
        <f>+K67/K55</f>
        <v>0.17620643916556122</v>
      </c>
      <c r="L50" s="148">
        <f>+L67/L55</f>
        <v>0.17620643916556133</v>
      </c>
      <c r="M50" s="148">
        <f t="shared" ref="M50:S50" si="66">+M67/M55</f>
        <v>0.17620643916556133</v>
      </c>
      <c r="N50" s="148">
        <f t="shared" si="66"/>
        <v>0.17620643916556131</v>
      </c>
      <c r="O50" s="148">
        <f t="shared" si="66"/>
        <v>0.17620643916556133</v>
      </c>
      <c r="P50" s="148">
        <f t="shared" si="66"/>
        <v>0.17620643916556125</v>
      </c>
      <c r="Q50" s="148">
        <f t="shared" si="66"/>
        <v>0.17620643916556125</v>
      </c>
      <c r="R50" s="148">
        <f t="shared" si="66"/>
        <v>0.17620643916556128</v>
      </c>
      <c r="S50" s="148">
        <f t="shared" si="66"/>
        <v>0.17620643916556128</v>
      </c>
      <c r="T50" s="148">
        <f t="shared" ref="T50" si="67">+T67/T55</f>
        <v>0.17620643916556131</v>
      </c>
    </row>
    <row r="51" spans="1:20" x14ac:dyDescent="0.2">
      <c r="B51" s="9" t="s">
        <v>84</v>
      </c>
      <c r="C51" s="8">
        <f t="shared" ref="C51:I51" si="68">+C68/C67</f>
        <v>-0.17978652434956638</v>
      </c>
      <c r="D51" s="8">
        <f t="shared" si="68"/>
        <v>-0.17038499506416585</v>
      </c>
      <c r="E51" s="8">
        <f t="shared" si="68"/>
        <v>1.7077335935594046E-2</v>
      </c>
      <c r="F51" s="134">
        <f t="shared" si="68"/>
        <v>-0.28134284016636957</v>
      </c>
      <c r="G51" s="134">
        <f t="shared" si="68"/>
        <v>-0.21530216226205878</v>
      </c>
      <c r="H51" s="134">
        <f t="shared" si="68"/>
        <v>-0.22180521673860012</v>
      </c>
      <c r="I51" s="134">
        <f t="shared" si="68"/>
        <v>-0.16830896376350921</v>
      </c>
      <c r="J51" s="161"/>
      <c r="K51" s="153">
        <v>-0.22</v>
      </c>
      <c r="L51" s="134">
        <f t="shared" si="52"/>
        <v>-0.22</v>
      </c>
      <c r="M51" s="134">
        <f t="shared" si="52"/>
        <v>-0.22</v>
      </c>
      <c r="N51" s="134">
        <f t="shared" si="52"/>
        <v>-0.22</v>
      </c>
      <c r="O51" s="134">
        <f t="shared" si="52"/>
        <v>-0.22</v>
      </c>
      <c r="P51" s="134">
        <f t="shared" si="52"/>
        <v>-0.22</v>
      </c>
      <c r="Q51" s="134">
        <f t="shared" si="52"/>
        <v>-0.22</v>
      </c>
      <c r="R51" s="134">
        <f t="shared" si="52"/>
        <v>-0.22</v>
      </c>
      <c r="S51" s="134">
        <f t="shared" si="52"/>
        <v>-0.22</v>
      </c>
      <c r="T51" s="134">
        <f>S51</f>
        <v>-0.22</v>
      </c>
    </row>
    <row r="52" spans="1:20" s="14" customFormat="1" x14ac:dyDescent="0.2">
      <c r="A52" s="13"/>
      <c r="B52" s="76" t="str">
        <f>B69</f>
        <v xml:space="preserve">Net Income </v>
      </c>
      <c r="C52" s="77">
        <f t="shared" ref="C52:I52" si="69">+C69/C55</f>
        <v>0.13836371820841772</v>
      </c>
      <c r="D52" s="77">
        <f t="shared" si="69"/>
        <v>0.19586091171809453</v>
      </c>
      <c r="E52" s="77">
        <f t="shared" si="69"/>
        <v>0.16432146939419021</v>
      </c>
      <c r="F52" s="148">
        <f t="shared" si="69"/>
        <v>8.7906097826876958E-2</v>
      </c>
      <c r="G52" s="149">
        <f t="shared" si="69"/>
        <v>0.14262201471230393</v>
      </c>
      <c r="H52" s="148">
        <f t="shared" si="69"/>
        <v>0.13042110890964556</v>
      </c>
      <c r="I52" s="148">
        <f t="shared" si="69"/>
        <v>0.15775352707102375</v>
      </c>
      <c r="J52" s="162"/>
      <c r="K52" s="148">
        <f>+K69/K55</f>
        <v>0.13744102254913776</v>
      </c>
      <c r="L52" s="148">
        <f>+L69/L55</f>
        <v>0.13744102254913781</v>
      </c>
      <c r="M52" s="148">
        <f t="shared" ref="M52:S52" si="70">+M69/M55</f>
        <v>0.13744102254913784</v>
      </c>
      <c r="N52" s="148">
        <f t="shared" si="70"/>
        <v>0.13744102254913781</v>
      </c>
      <c r="O52" s="148">
        <f t="shared" si="70"/>
        <v>0.13744102254913784</v>
      </c>
      <c r="P52" s="148">
        <f t="shared" si="70"/>
        <v>0.13744102254913776</v>
      </c>
      <c r="Q52" s="148">
        <f t="shared" si="70"/>
        <v>0.13744102254913776</v>
      </c>
      <c r="R52" s="148">
        <f t="shared" si="70"/>
        <v>0.13744102254913779</v>
      </c>
      <c r="S52" s="148">
        <f t="shared" si="70"/>
        <v>0.13744102254913779</v>
      </c>
      <c r="T52" s="148">
        <f t="shared" ref="T52" si="71">+T69/T55</f>
        <v>0.13744102254913781</v>
      </c>
    </row>
    <row r="53" spans="1:20" x14ac:dyDescent="0.2">
      <c r="C53" s="2"/>
      <c r="D53" s="2"/>
      <c r="E53" s="2"/>
      <c r="F53" s="2"/>
      <c r="G53" s="2"/>
      <c r="H53" s="2"/>
      <c r="I53" s="2"/>
      <c r="J53" s="161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 x14ac:dyDescent="0.2">
      <c r="C54" s="2"/>
      <c r="D54" s="2"/>
      <c r="E54" s="2"/>
      <c r="F54" s="2"/>
      <c r="G54" s="2"/>
      <c r="H54" s="2"/>
      <c r="I54" s="2"/>
      <c r="J54" s="161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 s="78" customFormat="1" x14ac:dyDescent="0.2">
      <c r="A55" s="13"/>
      <c r="B55" s="13" t="s">
        <v>57</v>
      </c>
      <c r="C55" s="14">
        <f t="shared" ref="C55:E55" si="72">C280</f>
        <v>17772000</v>
      </c>
      <c r="D55" s="14">
        <f t="shared" si="72"/>
        <v>21454000</v>
      </c>
      <c r="E55" s="14">
        <f t="shared" si="72"/>
        <v>25371000</v>
      </c>
      <c r="F55" s="131">
        <f>F22</f>
        <v>27518000</v>
      </c>
      <c r="G55" s="131">
        <f>G22</f>
        <v>29771000</v>
      </c>
      <c r="H55" s="131">
        <f>H22</f>
        <v>31797000</v>
      </c>
      <c r="I55" s="131">
        <f>I22</f>
        <v>33172000</v>
      </c>
      <c r="J55" s="164"/>
      <c r="K55" s="131">
        <f t="shared" ref="K55:T55" si="73">K22</f>
        <v>35022849.950738922</v>
      </c>
      <c r="L55" s="131">
        <f t="shared" si="73"/>
        <v>36723950.788488403</v>
      </c>
      <c r="M55" s="131">
        <f t="shared" si="73"/>
        <v>38244018.117487945</v>
      </c>
      <c r="N55" s="131">
        <f t="shared" si="73"/>
        <v>39647942.644082978</v>
      </c>
      <c r="O55" s="131">
        <f t="shared" si="73"/>
        <v>40919270.683551602</v>
      </c>
      <c r="P55" s="131">
        <f t="shared" si="73"/>
        <v>42042955.975853629</v>
      </c>
      <c r="Q55" s="131">
        <f t="shared" si="73"/>
        <v>43005680.749565668</v>
      </c>
      <c r="R55" s="131">
        <f t="shared" si="73"/>
        <v>43889668.431022495</v>
      </c>
      <c r="S55" s="131">
        <f t="shared" si="73"/>
        <v>44689045.888006665</v>
      </c>
      <c r="T55" s="131">
        <f t="shared" si="73"/>
        <v>45507274.103044264</v>
      </c>
    </row>
    <row r="56" spans="1:20" s="7" customFormat="1" x14ac:dyDescent="0.2">
      <c r="A56" s="2"/>
      <c r="B56" s="9" t="s">
        <v>101</v>
      </c>
      <c r="C56" s="73">
        <f t="shared" ref="C56:H56" si="74">C281*-1</f>
        <v>-6790000</v>
      </c>
      <c r="D56" s="73">
        <f t="shared" si="74"/>
        <v>-7934000</v>
      </c>
      <c r="E56" s="73">
        <f t="shared" si="74"/>
        <v>-10315000</v>
      </c>
      <c r="F56" s="73">
        <f t="shared" si="74"/>
        <v>-12173000</v>
      </c>
      <c r="G56" s="73">
        <f t="shared" si="74"/>
        <v>-14385000</v>
      </c>
      <c r="H56" s="73">
        <f t="shared" si="74"/>
        <v>-15697000</v>
      </c>
      <c r="I56" s="73">
        <v>-15987000</v>
      </c>
      <c r="J56" s="163"/>
      <c r="K56" s="6">
        <f>-K55*K38</f>
        <v>-16879003.441530906</v>
      </c>
      <c r="L56" s="6">
        <f t="shared" ref="L56:T56" si="75">-L55*L38</f>
        <v>-17698836.405871339</v>
      </c>
      <c r="M56" s="6">
        <f t="shared" si="75"/>
        <v>-18431421.609920409</v>
      </c>
      <c r="N56" s="6">
        <f t="shared" si="75"/>
        <v>-19108032.649552472</v>
      </c>
      <c r="O56" s="6">
        <f t="shared" si="75"/>
        <v>-19720739.793136965</v>
      </c>
      <c r="P56" s="6">
        <f t="shared" si="75"/>
        <v>-20262291.606956832</v>
      </c>
      <c r="Q56" s="6">
        <f t="shared" si="75"/>
        <v>-20726269.689596839</v>
      </c>
      <c r="R56" s="6">
        <f t="shared" si="75"/>
        <v>-21152301.013106134</v>
      </c>
      <c r="S56" s="6">
        <f t="shared" si="75"/>
        <v>-21537555.064860802</v>
      </c>
      <c r="T56" s="6">
        <f t="shared" si="75"/>
        <v>-21931894.100005083</v>
      </c>
    </row>
    <row r="57" spans="1:20" s="7" customFormat="1" x14ac:dyDescent="0.2">
      <c r="A57" s="2"/>
      <c r="B57" s="9" t="s">
        <v>106</v>
      </c>
      <c r="C57" s="73">
        <f t="shared" ref="C57:C62" si="76">-C282</f>
        <v>-1380000</v>
      </c>
      <c r="D57" s="73">
        <f t="shared" ref="D57:H57" si="77">-D282</f>
        <v>-1741000</v>
      </c>
      <c r="E57" s="73">
        <f t="shared" si="77"/>
        <v>-1060000</v>
      </c>
      <c r="F57" s="73">
        <f t="shared" si="77"/>
        <v>-1572000</v>
      </c>
      <c r="G57" s="73">
        <f t="shared" si="77"/>
        <v>-1682000</v>
      </c>
      <c r="H57" s="73">
        <f t="shared" si="77"/>
        <v>-1442000</v>
      </c>
      <c r="I57" s="73">
        <v>-1720000</v>
      </c>
      <c r="J57" s="163"/>
      <c r="K57" s="6">
        <f>-K55*K39</f>
        <v>-1815968.3442442708</v>
      </c>
      <c r="L57" s="6">
        <f t="shared" ref="L57:T57" si="78">-L55*L39</f>
        <v>-1904172.0534245768</v>
      </c>
      <c r="M57" s="6">
        <f t="shared" si="78"/>
        <v>-1982989.0016302685</v>
      </c>
      <c r="N57" s="6">
        <f t="shared" si="78"/>
        <v>-2055783.8341921719</v>
      </c>
      <c r="O57" s="6">
        <f t="shared" si="78"/>
        <v>-2121703.4117842987</v>
      </c>
      <c r="P57" s="6">
        <f t="shared" si="78"/>
        <v>-2179967.5713996217</v>
      </c>
      <c r="Q57" s="6">
        <f t="shared" si="78"/>
        <v>-2229885.7738228915</v>
      </c>
      <c r="R57" s="6">
        <f t="shared" si="78"/>
        <v>-2275721.3825322166</v>
      </c>
      <c r="S57" s="6">
        <f t="shared" si="78"/>
        <v>-2317169.8699919051</v>
      </c>
      <c r="T57" s="6">
        <f t="shared" si="78"/>
        <v>-2359595.7873277506</v>
      </c>
    </row>
    <row r="58" spans="1:20" s="7" customFormat="1" x14ac:dyDescent="0.2">
      <c r="A58" s="2"/>
      <c r="B58" s="9" t="s">
        <v>107</v>
      </c>
      <c r="C58" s="73">
        <f t="shared" si="76"/>
        <v>-1615000</v>
      </c>
      <c r="D58" s="73">
        <f t="shared" ref="D58:H58" si="79">-D283</f>
        <v>-1778000</v>
      </c>
      <c r="E58" s="73">
        <f t="shared" si="79"/>
        <v>-2075000</v>
      </c>
      <c r="F58" s="73">
        <f t="shared" si="79"/>
        <v>-2120000</v>
      </c>
      <c r="G58" s="73">
        <f t="shared" si="79"/>
        <v>-1919000</v>
      </c>
      <c r="H58" s="73">
        <f t="shared" si="79"/>
        <v>-1768000</v>
      </c>
      <c r="I58" s="73">
        <v>-1704000</v>
      </c>
      <c r="J58" s="163"/>
      <c r="K58" s="6">
        <f t="shared" ref="K58:T58" si="80">-K$55*K40</f>
        <v>-2101370.9970443351</v>
      </c>
      <c r="L58" s="6">
        <f t="shared" si="80"/>
        <v>-2203437.0473093041</v>
      </c>
      <c r="M58" s="6">
        <f t="shared" si="80"/>
        <v>-2294641.0870492766</v>
      </c>
      <c r="N58" s="6">
        <f t="shared" si="80"/>
        <v>-2378876.5586449788</v>
      </c>
      <c r="O58" s="6">
        <f t="shared" si="80"/>
        <v>-2455156.2410130962</v>
      </c>
      <c r="P58" s="6">
        <f t="shared" si="80"/>
        <v>-2522577.3585512177</v>
      </c>
      <c r="Q58" s="6">
        <f t="shared" si="80"/>
        <v>-2580340.8449739399</v>
      </c>
      <c r="R58" s="6">
        <f t="shared" si="80"/>
        <v>-2633380.1058613495</v>
      </c>
      <c r="S58" s="6">
        <f t="shared" si="80"/>
        <v>-2681342.7532803998</v>
      </c>
      <c r="T58" s="6">
        <f t="shared" si="80"/>
        <v>-2730436.4461826556</v>
      </c>
    </row>
    <row r="59" spans="1:20" s="7" customFormat="1" x14ac:dyDescent="0.2">
      <c r="A59" s="2"/>
      <c r="B59" s="9" t="s">
        <v>109</v>
      </c>
      <c r="C59" s="73">
        <f t="shared" si="76"/>
        <v>-1401000</v>
      </c>
      <c r="D59" s="73">
        <f t="shared" ref="D59:H59" si="81">-D284</f>
        <v>-1861000</v>
      </c>
      <c r="E59" s="73">
        <f t="shared" si="81"/>
        <v>-2445000</v>
      </c>
      <c r="F59" s="73">
        <f t="shared" si="81"/>
        <v>-2257000</v>
      </c>
      <c r="G59" s="73">
        <f t="shared" si="81"/>
        <v>-1809000</v>
      </c>
      <c r="H59" s="73">
        <f t="shared" si="81"/>
        <v>-2001000</v>
      </c>
      <c r="I59" s="73">
        <v>-2283000</v>
      </c>
      <c r="J59" s="163"/>
      <c r="K59" s="6">
        <f t="shared" ref="K59:T59" si="82">-K$55*K41</f>
        <v>-2101370.9970443351</v>
      </c>
      <c r="L59" s="6">
        <f t="shared" si="82"/>
        <v>-2203437.0473093041</v>
      </c>
      <c r="M59" s="6">
        <f t="shared" si="82"/>
        <v>-2294641.0870492766</v>
      </c>
      <c r="N59" s="6">
        <f t="shared" si="82"/>
        <v>-2378876.5586449788</v>
      </c>
      <c r="O59" s="6">
        <f t="shared" si="82"/>
        <v>-2455156.2410130962</v>
      </c>
      <c r="P59" s="6">
        <f t="shared" si="82"/>
        <v>-2522577.3585512177</v>
      </c>
      <c r="Q59" s="6">
        <f t="shared" si="82"/>
        <v>-2580340.8449739399</v>
      </c>
      <c r="R59" s="6">
        <f t="shared" si="82"/>
        <v>-2633380.1058613495</v>
      </c>
      <c r="S59" s="6">
        <f t="shared" si="82"/>
        <v>-2681342.7532803998</v>
      </c>
      <c r="T59" s="6">
        <f t="shared" si="82"/>
        <v>-2730436.4461826556</v>
      </c>
    </row>
    <row r="60" spans="1:20" s="7" customFormat="1" x14ac:dyDescent="0.2">
      <c r="A60" s="2"/>
      <c r="B60" s="9" t="s">
        <v>58</v>
      </c>
      <c r="C60" s="73">
        <f t="shared" si="76"/>
        <v>-2085000</v>
      </c>
      <c r="D60" s="73">
        <f t="shared" ref="D60:H60" si="83">-D285</f>
        <v>-2642000</v>
      </c>
      <c r="E60" s="73">
        <f t="shared" si="83"/>
        <v>-3038000</v>
      </c>
      <c r="F60" s="73">
        <f t="shared" si="83"/>
        <v>-3253000</v>
      </c>
      <c r="G60" s="73">
        <f t="shared" si="83"/>
        <v>-2973000</v>
      </c>
      <c r="H60" s="73">
        <f t="shared" si="83"/>
        <v>-2979000</v>
      </c>
      <c r="I60" s="73">
        <v>-3103000</v>
      </c>
      <c r="J60" s="163"/>
      <c r="K60" s="6">
        <f t="shared" ref="K60:T60" si="84">-K$55*K42</f>
        <v>-3152056.4955665027</v>
      </c>
      <c r="L60" s="6">
        <f t="shared" si="84"/>
        <v>-3305155.5709639559</v>
      </c>
      <c r="M60" s="6">
        <f t="shared" si="84"/>
        <v>-3441961.6305739149</v>
      </c>
      <c r="N60" s="6">
        <f t="shared" si="84"/>
        <v>-3568314.837967468</v>
      </c>
      <c r="O60" s="6">
        <f t="shared" si="84"/>
        <v>-3682734.361519644</v>
      </c>
      <c r="P60" s="6">
        <f t="shared" si="84"/>
        <v>-3783866.0378268263</v>
      </c>
      <c r="Q60" s="6">
        <f t="shared" si="84"/>
        <v>-3870511.2674609101</v>
      </c>
      <c r="R60" s="6">
        <f t="shared" si="84"/>
        <v>-3950070.1587920245</v>
      </c>
      <c r="S60" s="6">
        <f t="shared" si="84"/>
        <v>-4022014.1299205995</v>
      </c>
      <c r="T60" s="6">
        <f t="shared" si="84"/>
        <v>-4095654.6692739837</v>
      </c>
    </row>
    <row r="61" spans="1:20" s="7" customFormat="1" x14ac:dyDescent="0.2">
      <c r="A61" s="2"/>
      <c r="B61" s="9" t="s">
        <v>110</v>
      </c>
      <c r="C61" s="73">
        <f t="shared" si="76"/>
        <v>-1711000</v>
      </c>
      <c r="D61" s="73">
        <f t="shared" ref="D61:H61" si="85">-D286</f>
        <v>-2070000</v>
      </c>
      <c r="E61" s="73">
        <f t="shared" si="85"/>
        <v>-2114000</v>
      </c>
      <c r="F61" s="73">
        <f t="shared" si="85"/>
        <v>-2099000</v>
      </c>
      <c r="G61" s="73">
        <f t="shared" si="85"/>
        <v>-2059000</v>
      </c>
      <c r="H61" s="73">
        <f t="shared" si="85"/>
        <v>-2147000</v>
      </c>
      <c r="I61" s="73">
        <v>-1979000</v>
      </c>
      <c r="J61" s="163"/>
      <c r="K61" s="6">
        <f t="shared" ref="K61:T61" si="86">-K$55*K43</f>
        <v>-2451599.4965517246</v>
      </c>
      <c r="L61" s="6">
        <f t="shared" si="86"/>
        <v>-2570676.5551941884</v>
      </c>
      <c r="M61" s="6">
        <f t="shared" si="86"/>
        <v>-2677081.2682241565</v>
      </c>
      <c r="N61" s="6">
        <f t="shared" si="86"/>
        <v>-2775355.9850858087</v>
      </c>
      <c r="O61" s="6">
        <f t="shared" si="86"/>
        <v>-2864348.9478486124</v>
      </c>
      <c r="P61" s="6">
        <f t="shared" si="86"/>
        <v>-2943006.9183097542</v>
      </c>
      <c r="Q61" s="6">
        <f t="shared" si="86"/>
        <v>-3010397.6524695973</v>
      </c>
      <c r="R61" s="6">
        <f t="shared" si="86"/>
        <v>-3072276.7901715748</v>
      </c>
      <c r="S61" s="6">
        <f t="shared" si="86"/>
        <v>-3128233.2121604667</v>
      </c>
      <c r="T61" s="6">
        <f t="shared" si="86"/>
        <v>-3185509.1872130986</v>
      </c>
    </row>
    <row r="62" spans="1:20" x14ac:dyDescent="0.2">
      <c r="B62" s="9" t="s">
        <v>111</v>
      </c>
      <c r="C62" s="73">
        <f t="shared" si="76"/>
        <v>-71000</v>
      </c>
      <c r="D62" s="73">
        <f t="shared" ref="D62:H62" si="87">-D287</f>
        <v>-139000</v>
      </c>
      <c r="E62" s="73">
        <f t="shared" si="87"/>
        <v>-62000</v>
      </c>
      <c r="F62" s="73">
        <f t="shared" si="87"/>
        <v>-207000</v>
      </c>
      <c r="G62" s="73">
        <f t="shared" si="87"/>
        <v>84000</v>
      </c>
      <c r="H62" s="73">
        <f t="shared" si="87"/>
        <v>-438000</v>
      </c>
      <c r="I62" s="73">
        <v>-331000</v>
      </c>
      <c r="J62" s="161"/>
      <c r="K62" s="6">
        <f t="shared" ref="K62:T62" si="88">-K$55*K44</f>
        <v>-350228.49950738921</v>
      </c>
      <c r="L62" s="6">
        <f t="shared" si="88"/>
        <v>-367239.50788488402</v>
      </c>
      <c r="M62" s="6">
        <f t="shared" si="88"/>
        <v>-382440.18117487943</v>
      </c>
      <c r="N62" s="6">
        <f t="shared" si="88"/>
        <v>-396479.42644082982</v>
      </c>
      <c r="O62" s="6">
        <f t="shared" si="88"/>
        <v>-409192.70683551603</v>
      </c>
      <c r="P62" s="6">
        <f t="shared" si="88"/>
        <v>-420429.55975853628</v>
      </c>
      <c r="Q62" s="6">
        <f t="shared" si="88"/>
        <v>-430056.80749565671</v>
      </c>
      <c r="R62" s="6">
        <f t="shared" si="88"/>
        <v>-438896.68431022495</v>
      </c>
      <c r="S62" s="6">
        <f t="shared" si="88"/>
        <v>-446890.45888006664</v>
      </c>
      <c r="T62" s="6">
        <f t="shared" si="88"/>
        <v>-455072.74103044264</v>
      </c>
    </row>
    <row r="63" spans="1:20" x14ac:dyDescent="0.2">
      <c r="B63" s="13" t="s">
        <v>1</v>
      </c>
      <c r="C63" s="14">
        <f t="shared" ref="C63:I63" si="89">SUM(C55:C62)</f>
        <v>2719000</v>
      </c>
      <c r="D63" s="14">
        <f t="shared" si="89"/>
        <v>3289000</v>
      </c>
      <c r="E63" s="14">
        <f t="shared" si="89"/>
        <v>4262000</v>
      </c>
      <c r="F63" s="14">
        <f t="shared" si="89"/>
        <v>3837000</v>
      </c>
      <c r="G63" s="14">
        <f t="shared" si="89"/>
        <v>5028000</v>
      </c>
      <c r="H63" s="14">
        <f t="shared" si="89"/>
        <v>5325000</v>
      </c>
      <c r="I63" s="14">
        <f t="shared" si="89"/>
        <v>6065000</v>
      </c>
      <c r="J63" s="161"/>
      <c r="K63" s="14">
        <f t="shared" ref="K63:S63" si="90">SUM(K55:K62)</f>
        <v>6171251.6792494571</v>
      </c>
      <c r="L63" s="14">
        <f t="shared" si="90"/>
        <v>6470996.6005308498</v>
      </c>
      <c r="M63" s="14">
        <f t="shared" si="90"/>
        <v>6738842.2518657651</v>
      </c>
      <c r="N63" s="14">
        <f t="shared" si="90"/>
        <v>6986222.7935542716</v>
      </c>
      <c r="O63" s="14">
        <f t="shared" si="90"/>
        <v>7210238.9804003723</v>
      </c>
      <c r="P63" s="14">
        <f t="shared" si="90"/>
        <v>7408239.5644996222</v>
      </c>
      <c r="Q63" s="14">
        <f t="shared" si="90"/>
        <v>7577877.8687718911</v>
      </c>
      <c r="R63" s="14">
        <f t="shared" si="90"/>
        <v>7733642.1903876206</v>
      </c>
      <c r="S63" s="14">
        <f t="shared" si="90"/>
        <v>7874497.645632023</v>
      </c>
      <c r="T63" s="14">
        <f t="shared" ref="T63" si="91">SUM(T55:T62)</f>
        <v>8018674.7258285927</v>
      </c>
    </row>
    <row r="64" spans="1:20" x14ac:dyDescent="0.2">
      <c r="B64" s="9" t="s">
        <v>2</v>
      </c>
      <c r="C64" s="73">
        <f>-'Operating Model'!C212</f>
        <v>-912000</v>
      </c>
      <c r="D64" s="73">
        <f>-'Operating Model'!D212</f>
        <v>-1189000</v>
      </c>
      <c r="E64" s="73">
        <f>-'Operating Model'!E212</f>
        <v>-1265000</v>
      </c>
      <c r="F64" s="73">
        <f>-'Operating Model'!F212</f>
        <v>-1317000</v>
      </c>
      <c r="G64" s="73">
        <f>-'Operating Model'!G212</f>
        <v>-1072000</v>
      </c>
      <c r="H64" s="73">
        <f>-'Operating Model'!H212</f>
        <v>-1032000</v>
      </c>
      <c r="I64" s="73">
        <f>-963000</f>
        <v>-963000</v>
      </c>
      <c r="J64" s="161"/>
      <c r="K64" s="6">
        <f t="shared" ref="K64:S64" si="92">-K46*K55</f>
        <v>-1050685.4985221676</v>
      </c>
      <c r="L64" s="6">
        <f t="shared" si="92"/>
        <v>-1101718.5236546521</v>
      </c>
      <c r="M64" s="6">
        <f t="shared" si="92"/>
        <v>-1147320.5435246383</v>
      </c>
      <c r="N64" s="6">
        <f t="shared" si="92"/>
        <v>-1189438.2793224894</v>
      </c>
      <c r="O64" s="6">
        <f t="shared" si="92"/>
        <v>-1227578.1205065481</v>
      </c>
      <c r="P64" s="6">
        <f t="shared" si="92"/>
        <v>-1261288.6792756089</v>
      </c>
      <c r="Q64" s="6">
        <f t="shared" si="92"/>
        <v>-1290170.42248697</v>
      </c>
      <c r="R64" s="6">
        <f t="shared" si="92"/>
        <v>-1316690.0529306747</v>
      </c>
      <c r="S64" s="6">
        <f t="shared" si="92"/>
        <v>-1340671.3766401999</v>
      </c>
      <c r="T64" s="6">
        <f t="shared" ref="T64" si="93">-T46*T55</f>
        <v>-1365218.2230913278</v>
      </c>
    </row>
    <row r="65" spans="1:20" x14ac:dyDescent="0.2">
      <c r="B65" s="16" t="s">
        <v>0</v>
      </c>
      <c r="C65" s="14">
        <f t="shared" ref="C65:I65" si="94">+C63-C64</f>
        <v>3631000</v>
      </c>
      <c r="D65" s="14">
        <f t="shared" si="94"/>
        <v>4478000</v>
      </c>
      <c r="E65" s="14">
        <f t="shared" si="94"/>
        <v>5527000</v>
      </c>
      <c r="F65" s="14">
        <f t="shared" si="94"/>
        <v>5154000</v>
      </c>
      <c r="G65" s="14">
        <f t="shared" si="94"/>
        <v>6100000</v>
      </c>
      <c r="H65" s="14">
        <f t="shared" si="94"/>
        <v>6357000</v>
      </c>
      <c r="I65" s="14">
        <f t="shared" si="94"/>
        <v>7028000</v>
      </c>
      <c r="J65" s="161"/>
      <c r="K65" s="14">
        <f t="shared" ref="K65:S65" si="95">+K63-K64</f>
        <v>7221937.1777716242</v>
      </c>
      <c r="L65" s="14">
        <f t="shared" si="95"/>
        <v>7572715.1241855016</v>
      </c>
      <c r="M65" s="14">
        <f t="shared" si="95"/>
        <v>7886162.7953904029</v>
      </c>
      <c r="N65" s="14">
        <f t="shared" si="95"/>
        <v>8175661.0728767607</v>
      </c>
      <c r="O65" s="14">
        <f t="shared" si="95"/>
        <v>8437817.1009069197</v>
      </c>
      <c r="P65" s="14">
        <f t="shared" si="95"/>
        <v>8669528.2437752318</v>
      </c>
      <c r="Q65" s="14">
        <f t="shared" si="95"/>
        <v>8868048.2912588604</v>
      </c>
      <c r="R65" s="14">
        <f t="shared" si="95"/>
        <v>9050332.2433182951</v>
      </c>
      <c r="S65" s="14">
        <f t="shared" si="95"/>
        <v>9215169.0222722236</v>
      </c>
      <c r="T65" s="14">
        <f t="shared" ref="T65" si="96">+T63-T64</f>
        <v>9383892.9489199203</v>
      </c>
    </row>
    <row r="66" spans="1:20" x14ac:dyDescent="0.2">
      <c r="B66" s="13" t="s">
        <v>83</v>
      </c>
      <c r="C66" s="73">
        <f>C290</f>
        <v>279000</v>
      </c>
      <c r="D66" s="73">
        <f t="shared" ref="D66:H66" si="97">D290</f>
        <v>1776000</v>
      </c>
      <c r="E66" s="73">
        <f t="shared" si="97"/>
        <v>-163000</v>
      </c>
      <c r="F66" s="73">
        <f t="shared" si="97"/>
        <v>-471000</v>
      </c>
      <c r="G66" s="73">
        <f t="shared" si="97"/>
        <v>383000</v>
      </c>
      <c r="H66" s="73">
        <f t="shared" si="97"/>
        <v>4000</v>
      </c>
      <c r="I66" s="73">
        <v>227000</v>
      </c>
      <c r="J66" s="161"/>
      <c r="K66" s="6">
        <f t="shared" ref="K66:S66" si="98">K55*K49</f>
        <v>0</v>
      </c>
      <c r="L66" s="6">
        <f t="shared" si="98"/>
        <v>0</v>
      </c>
      <c r="M66" s="6">
        <f t="shared" si="98"/>
        <v>0</v>
      </c>
      <c r="N66" s="6">
        <f t="shared" si="98"/>
        <v>0</v>
      </c>
      <c r="O66" s="6">
        <f t="shared" si="98"/>
        <v>0</v>
      </c>
      <c r="P66" s="6">
        <f t="shared" si="98"/>
        <v>0</v>
      </c>
      <c r="Q66" s="6">
        <f t="shared" si="98"/>
        <v>0</v>
      </c>
      <c r="R66" s="6">
        <f t="shared" si="98"/>
        <v>0</v>
      </c>
      <c r="S66" s="6">
        <f t="shared" si="98"/>
        <v>0</v>
      </c>
      <c r="T66" s="6">
        <f t="shared" ref="T66" si="99">T55*T49</f>
        <v>0</v>
      </c>
    </row>
    <row r="67" spans="1:20" s="7" customFormat="1" x14ac:dyDescent="0.2">
      <c r="A67" s="2"/>
      <c r="B67" s="13" t="s">
        <v>5</v>
      </c>
      <c r="C67" s="14">
        <f t="shared" ref="C67:I67" si="100">+C63+C66</f>
        <v>2998000</v>
      </c>
      <c r="D67" s="14">
        <f t="shared" si="100"/>
        <v>5065000</v>
      </c>
      <c r="E67" s="14">
        <f t="shared" si="100"/>
        <v>4099000</v>
      </c>
      <c r="F67" s="14">
        <f t="shared" si="100"/>
        <v>3366000</v>
      </c>
      <c r="G67" s="27">
        <f t="shared" si="100"/>
        <v>5411000</v>
      </c>
      <c r="H67" s="14">
        <f t="shared" si="100"/>
        <v>5329000</v>
      </c>
      <c r="I67" s="14">
        <f t="shared" si="100"/>
        <v>6292000</v>
      </c>
      <c r="J67" s="163"/>
      <c r="K67" s="14">
        <f t="shared" ref="K67:S67" si="101">+K63+K66</f>
        <v>6171251.6792494571</v>
      </c>
      <c r="L67" s="14">
        <f t="shared" si="101"/>
        <v>6470996.6005308498</v>
      </c>
      <c r="M67" s="14">
        <f t="shared" si="101"/>
        <v>6738842.2518657651</v>
      </c>
      <c r="N67" s="14">
        <f t="shared" si="101"/>
        <v>6986222.7935542716</v>
      </c>
      <c r="O67" s="14">
        <f t="shared" si="101"/>
        <v>7210238.9804003723</v>
      </c>
      <c r="P67" s="14">
        <f t="shared" si="101"/>
        <v>7408239.5644996222</v>
      </c>
      <c r="Q67" s="14">
        <f t="shared" si="101"/>
        <v>7577877.8687718911</v>
      </c>
      <c r="R67" s="14">
        <f t="shared" si="101"/>
        <v>7733642.1903876206</v>
      </c>
      <c r="S67" s="14">
        <f t="shared" si="101"/>
        <v>7874497.645632023</v>
      </c>
      <c r="T67" s="14">
        <f t="shared" ref="T67" si="102">+T63+T66</f>
        <v>8018674.7258285927</v>
      </c>
    </row>
    <row r="68" spans="1:20" x14ac:dyDescent="0.2">
      <c r="B68" s="9" t="s">
        <v>6</v>
      </c>
      <c r="C68" s="73">
        <f>-C292</f>
        <v>-539000</v>
      </c>
      <c r="D68" s="73">
        <f t="shared" ref="D68:H68" si="103">-D292</f>
        <v>-863000</v>
      </c>
      <c r="E68" s="73">
        <f t="shared" si="103"/>
        <v>70000</v>
      </c>
      <c r="F68" s="73">
        <f t="shared" si="103"/>
        <v>-947000</v>
      </c>
      <c r="G68" s="73">
        <f t="shared" si="103"/>
        <v>-1165000</v>
      </c>
      <c r="H68" s="73">
        <f t="shared" si="103"/>
        <v>-1182000</v>
      </c>
      <c r="I68" s="73">
        <v>-1059000</v>
      </c>
      <c r="J68" s="161"/>
      <c r="K68" s="6">
        <f t="shared" ref="K68:S68" si="104">K67*K51</f>
        <v>-1357675.3694348806</v>
      </c>
      <c r="L68" s="6">
        <f t="shared" si="104"/>
        <v>-1423619.252116787</v>
      </c>
      <c r="M68" s="6">
        <f t="shared" si="104"/>
        <v>-1482545.2954104682</v>
      </c>
      <c r="N68" s="6">
        <f t="shared" si="104"/>
        <v>-1536969.0145819397</v>
      </c>
      <c r="O68" s="6">
        <f t="shared" si="104"/>
        <v>-1586252.575688082</v>
      </c>
      <c r="P68" s="6">
        <f t="shared" si="104"/>
        <v>-1629812.7041899168</v>
      </c>
      <c r="Q68" s="6">
        <f t="shared" si="104"/>
        <v>-1667133.1311298159</v>
      </c>
      <c r="R68" s="6">
        <f t="shared" si="104"/>
        <v>-1701401.2818852765</v>
      </c>
      <c r="S68" s="6">
        <f t="shared" si="104"/>
        <v>-1732389.4820390451</v>
      </c>
      <c r="T68" s="6">
        <f t="shared" ref="T68" si="105">T67*T51</f>
        <v>-1764108.4396822904</v>
      </c>
    </row>
    <row r="69" spans="1:20" x14ac:dyDescent="0.2">
      <c r="B69" s="20" t="s">
        <v>85</v>
      </c>
      <c r="C69" s="30">
        <f t="shared" ref="C69:I69" si="106">+C67+C68</f>
        <v>2459000</v>
      </c>
      <c r="D69" s="30">
        <f t="shared" si="106"/>
        <v>4202000</v>
      </c>
      <c r="E69" s="30">
        <f t="shared" si="106"/>
        <v>4169000</v>
      </c>
      <c r="F69" s="30">
        <f t="shared" si="106"/>
        <v>2419000</v>
      </c>
      <c r="G69" s="31">
        <f t="shared" si="106"/>
        <v>4246000</v>
      </c>
      <c r="H69" s="30">
        <f t="shared" si="106"/>
        <v>4147000</v>
      </c>
      <c r="I69" s="30">
        <f t="shared" si="106"/>
        <v>5233000</v>
      </c>
      <c r="J69" s="161"/>
      <c r="K69" s="30">
        <f t="shared" ref="K69:S69" si="107">+K67+K68</f>
        <v>4813576.3098145761</v>
      </c>
      <c r="L69" s="30">
        <f t="shared" si="107"/>
        <v>5047377.3484140625</v>
      </c>
      <c r="M69" s="30">
        <f t="shared" si="107"/>
        <v>5256296.9564552968</v>
      </c>
      <c r="N69" s="30">
        <f t="shared" si="107"/>
        <v>5449253.7789723314</v>
      </c>
      <c r="O69" s="30">
        <f t="shared" si="107"/>
        <v>5623986.4047122905</v>
      </c>
      <c r="P69" s="30">
        <f t="shared" si="107"/>
        <v>5778426.8603097051</v>
      </c>
      <c r="Q69" s="30">
        <f t="shared" si="107"/>
        <v>5910744.7376420749</v>
      </c>
      <c r="R69" s="30">
        <f t="shared" si="107"/>
        <v>6032240.908502344</v>
      </c>
      <c r="S69" s="30">
        <f t="shared" si="107"/>
        <v>6142108.1635929774</v>
      </c>
      <c r="T69" s="30">
        <f t="shared" ref="T69" si="108">+T67+T68</f>
        <v>6254566.2861463018</v>
      </c>
    </row>
    <row r="70" spans="1:20" x14ac:dyDescent="0.2">
      <c r="J70" s="161"/>
    </row>
    <row r="71" spans="1:20" x14ac:dyDescent="0.2">
      <c r="J71" s="161"/>
    </row>
    <row r="72" spans="1:20" s="2" customFormat="1" x14ac:dyDescent="0.2">
      <c r="B72" s="59" t="s">
        <v>16</v>
      </c>
      <c r="J72" s="165"/>
    </row>
    <row r="73" spans="1:20" s="2" customFormat="1" x14ac:dyDescent="0.2">
      <c r="B73" s="64"/>
      <c r="C73" s="61"/>
      <c r="D73" s="61"/>
      <c r="E73" s="61"/>
      <c r="F73" s="61"/>
      <c r="G73" s="62"/>
      <c r="H73" s="63"/>
      <c r="I73" s="63"/>
      <c r="J73" s="63"/>
      <c r="K73" s="67"/>
      <c r="L73" s="67"/>
      <c r="M73" s="67"/>
      <c r="N73" s="67"/>
      <c r="O73" s="67"/>
      <c r="P73" s="67"/>
      <c r="Q73" s="67"/>
      <c r="R73" s="67"/>
      <c r="S73" s="67"/>
      <c r="T73" s="67"/>
    </row>
    <row r="74" spans="1:20" x14ac:dyDescent="0.2">
      <c r="B74" s="13"/>
      <c r="G74" s="26"/>
      <c r="J74" s="161"/>
    </row>
    <row r="75" spans="1:20" s="124" customFormat="1" x14ac:dyDescent="0.2">
      <c r="A75" s="123"/>
      <c r="B75" s="15" t="s">
        <v>316</v>
      </c>
      <c r="F75" s="125">
        <f>F84/F55</f>
        <v>0</v>
      </c>
      <c r="G75" s="125">
        <f>G84/G55</f>
        <v>-2.2673071109468947E-2</v>
      </c>
      <c r="H75" s="125">
        <f>H84/H55</f>
        <v>-4.5916281410195931E-3</v>
      </c>
      <c r="I75" s="125">
        <f>I84/I55</f>
        <v>-3.9672012540696973E-2</v>
      </c>
      <c r="J75" s="161"/>
      <c r="K75" s="153">
        <f>I75</f>
        <v>-3.9672012540696973E-2</v>
      </c>
      <c r="L75" s="125">
        <f>K75</f>
        <v>-3.9672012540696973E-2</v>
      </c>
      <c r="M75" s="125">
        <f t="shared" ref="M75:T75" si="109">L75</f>
        <v>-3.9672012540696973E-2</v>
      </c>
      <c r="N75" s="125">
        <f t="shared" si="109"/>
        <v>-3.9672012540696973E-2</v>
      </c>
      <c r="O75" s="125">
        <f t="shared" si="109"/>
        <v>-3.9672012540696973E-2</v>
      </c>
      <c r="P75" s="125">
        <f t="shared" si="109"/>
        <v>-3.9672012540696973E-2</v>
      </c>
      <c r="Q75" s="125">
        <f t="shared" si="109"/>
        <v>-3.9672012540696973E-2</v>
      </c>
      <c r="R75" s="125">
        <f t="shared" si="109"/>
        <v>-3.9672012540696973E-2</v>
      </c>
      <c r="S75" s="125">
        <f t="shared" si="109"/>
        <v>-3.9672012540696973E-2</v>
      </c>
      <c r="T75" s="125">
        <f t="shared" si="109"/>
        <v>-3.9672012540696973E-2</v>
      </c>
    </row>
    <row r="76" spans="1:20" s="124" customFormat="1" x14ac:dyDescent="0.2">
      <c r="A76" s="123"/>
      <c r="B76" s="15" t="s">
        <v>438</v>
      </c>
      <c r="F76" s="125">
        <f>-F88/F55</f>
        <v>4.4698015844174724E-2</v>
      </c>
      <c r="G76" s="125">
        <f>-G88/G55</f>
        <v>3.9904605152665348E-2</v>
      </c>
      <c r="H76" s="125">
        <f>-H88/H55</f>
        <v>3.5569393338994247E-2</v>
      </c>
      <c r="I76" s="125">
        <f>-I88/I55</f>
        <v>3.9732304353068855E-2</v>
      </c>
      <c r="J76" s="161"/>
      <c r="K76" s="153">
        <v>0.04</v>
      </c>
      <c r="L76" s="125">
        <f>K76</f>
        <v>0.04</v>
      </c>
      <c r="M76" s="125">
        <f t="shared" ref="M76:T76" si="110">L76</f>
        <v>0.04</v>
      </c>
      <c r="N76" s="125">
        <f t="shared" si="110"/>
        <v>0.04</v>
      </c>
      <c r="O76" s="125">
        <f t="shared" si="110"/>
        <v>0.04</v>
      </c>
      <c r="P76" s="125">
        <f t="shared" si="110"/>
        <v>0.04</v>
      </c>
      <c r="Q76" s="125">
        <f t="shared" si="110"/>
        <v>0.04</v>
      </c>
      <c r="R76" s="125">
        <f t="shared" si="110"/>
        <v>0.04</v>
      </c>
      <c r="S76" s="125">
        <f t="shared" si="110"/>
        <v>0.04</v>
      </c>
      <c r="T76" s="125">
        <f t="shared" si="110"/>
        <v>0.04</v>
      </c>
    </row>
    <row r="77" spans="1:20" x14ac:dyDescent="0.2">
      <c r="B77" s="15" t="s">
        <v>468</v>
      </c>
      <c r="F77" s="44">
        <f>F96/F55</f>
        <v>-1.0236935823824407</v>
      </c>
      <c r="G77" s="44">
        <f>G96/G55</f>
        <v>4.9108192536360888E-2</v>
      </c>
      <c r="H77" s="44">
        <f>H96/H55</f>
        <v>-4.8274994496336134E-2</v>
      </c>
      <c r="I77" s="44">
        <f>I96/I55</f>
        <v>-1.5133244905341854E-2</v>
      </c>
      <c r="J77" s="161"/>
      <c r="K77" s="153">
        <v>-0.02</v>
      </c>
      <c r="L77" s="125">
        <f>K77</f>
        <v>-0.02</v>
      </c>
      <c r="M77" s="125">
        <f t="shared" ref="M77:T77" si="111">L77</f>
        <v>-0.02</v>
      </c>
      <c r="N77" s="125">
        <f t="shared" si="111"/>
        <v>-0.02</v>
      </c>
      <c r="O77" s="125">
        <f t="shared" si="111"/>
        <v>-0.02</v>
      </c>
      <c r="P77" s="125">
        <f t="shared" si="111"/>
        <v>-0.02</v>
      </c>
      <c r="Q77" s="125">
        <f t="shared" si="111"/>
        <v>-0.02</v>
      </c>
      <c r="R77" s="125">
        <f t="shared" si="111"/>
        <v>-0.02</v>
      </c>
      <c r="S77" s="125">
        <f t="shared" si="111"/>
        <v>-0.02</v>
      </c>
      <c r="T77" s="125">
        <f t="shared" si="111"/>
        <v>-0.02</v>
      </c>
    </row>
    <row r="78" spans="1:20" x14ac:dyDescent="0.2">
      <c r="B78" s="9"/>
      <c r="G78" s="47"/>
      <c r="J78" s="161"/>
    </row>
    <row r="79" spans="1:20" x14ac:dyDescent="0.2">
      <c r="A79" s="5"/>
      <c r="B79" s="9" t="s">
        <v>18</v>
      </c>
      <c r="C79" s="6">
        <f>'Operating Model'!C69</f>
        <v>2459000</v>
      </c>
      <c r="D79" s="6">
        <f>'Operating Model'!D69</f>
        <v>4202000</v>
      </c>
      <c r="E79" s="6">
        <f>'Operating Model'!E69</f>
        <v>4169000</v>
      </c>
      <c r="F79" s="6">
        <f>'Operating Model'!F69</f>
        <v>2419000</v>
      </c>
      <c r="G79" s="6">
        <f>'Operating Model'!G69</f>
        <v>4246000</v>
      </c>
      <c r="H79" s="6">
        <f>'Operating Model'!H69</f>
        <v>4147000</v>
      </c>
      <c r="I79" s="6">
        <f>'Operating Model'!I69</f>
        <v>5233000</v>
      </c>
      <c r="J79" s="161"/>
      <c r="K79" s="6">
        <f>'Operating Model'!K69</f>
        <v>4813576.3098145761</v>
      </c>
      <c r="L79" s="6">
        <f>'Operating Model'!L69</f>
        <v>5047377.3484140625</v>
      </c>
      <c r="M79" s="6">
        <f>'Operating Model'!M69</f>
        <v>5256296.9564552968</v>
      </c>
      <c r="N79" s="6">
        <f>'Operating Model'!N69</f>
        <v>5449253.7789723314</v>
      </c>
      <c r="O79" s="6">
        <f>'Operating Model'!O69</f>
        <v>5623986.4047122905</v>
      </c>
      <c r="P79" s="6">
        <f>'Operating Model'!P69</f>
        <v>5778426.8603097051</v>
      </c>
      <c r="Q79" s="6">
        <f>'Operating Model'!Q69</f>
        <v>5910744.7376420749</v>
      </c>
      <c r="R79" s="6">
        <f>'Operating Model'!R69</f>
        <v>6032240.908502344</v>
      </c>
      <c r="S79" s="6">
        <f>'Operating Model'!S69</f>
        <v>6142108.1635929774</v>
      </c>
      <c r="T79" s="6">
        <f>'Operating Model'!T69</f>
        <v>6254566.2861463018</v>
      </c>
    </row>
    <row r="80" spans="1:20" x14ac:dyDescent="0.2">
      <c r="B80" s="9" t="s">
        <v>19</v>
      </c>
      <c r="C80" s="73">
        <f>-'Operating Model'!C64</f>
        <v>912000</v>
      </c>
      <c r="D80" s="73">
        <f>-'Operating Model'!D64</f>
        <v>1189000</v>
      </c>
      <c r="E80" s="73">
        <f>-'Operating Model'!E64</f>
        <v>1265000</v>
      </c>
      <c r="F80" s="73">
        <f>-'Operating Model'!F64</f>
        <v>1317000</v>
      </c>
      <c r="G80" s="73">
        <f>-'Operating Model'!G64</f>
        <v>1072000</v>
      </c>
      <c r="H80" s="73">
        <f>-'Operating Model'!H64</f>
        <v>1032000</v>
      </c>
      <c r="I80" s="73">
        <f>-'Operating Model'!I64</f>
        <v>963000</v>
      </c>
      <c r="J80" s="161"/>
      <c r="K80" s="83">
        <f>'PPE Schedule'!L28</f>
        <v>717091.39980295568</v>
      </c>
      <c r="L80" s="83">
        <f>'PPE Schedule'!M28</f>
        <v>863987.20295690931</v>
      </c>
      <c r="M80" s="83">
        <f>'PPE Schedule'!N28</f>
        <v>1016963.2754268611</v>
      </c>
      <c r="N80" s="83">
        <f>'PPE Schedule'!O28</f>
        <v>598555.04600319301</v>
      </c>
      <c r="O80" s="83">
        <f>'PPE Schedule'!P28</f>
        <v>762232.12873739935</v>
      </c>
      <c r="P80" s="83">
        <f>'PPE Schedule'!Q28</f>
        <v>790312.55283785821</v>
      </c>
      <c r="Q80" s="83">
        <f>'PPE Schedule'!R28</f>
        <v>815439.47268216731</v>
      </c>
      <c r="R80" s="83">
        <f>'PPE Schedule'!S28</f>
        <v>838022.07393630547</v>
      </c>
      <c r="S80" s="83">
        <f>'PPE Schedule'!T28</f>
        <v>858186.48691200011</v>
      </c>
      <c r="T80" s="83">
        <f>'PPE Schedule'!U28</f>
        <v>876538.50058997085</v>
      </c>
    </row>
    <row r="81" spans="1:20" s="7" customFormat="1" x14ac:dyDescent="0.2">
      <c r="A81" s="5"/>
      <c r="B81" s="9" t="s">
        <v>91</v>
      </c>
      <c r="C81" s="73" t="e">
        <f>#REF!</f>
        <v>#REF!</v>
      </c>
      <c r="D81" s="73" t="e">
        <f>#REF!</f>
        <v>#REF!</v>
      </c>
      <c r="E81" s="73" t="e">
        <f>#REF!</f>
        <v>#REF!</v>
      </c>
      <c r="F81" s="73">
        <v>1261000</v>
      </c>
      <c r="G81" s="73">
        <v>1475000</v>
      </c>
      <c r="H81" s="73">
        <v>1230000</v>
      </c>
      <c r="I81" s="73">
        <v>1002000</v>
      </c>
      <c r="J81" s="163"/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</row>
    <row r="82" spans="1:20" s="7" customFormat="1" x14ac:dyDescent="0.2">
      <c r="A82" s="5"/>
      <c r="B82" s="9" t="s">
        <v>202</v>
      </c>
      <c r="C82" s="73"/>
      <c r="D82" s="73"/>
      <c r="E82" s="73"/>
      <c r="F82" s="73">
        <v>0</v>
      </c>
      <c r="G82" s="73">
        <v>-11470000</v>
      </c>
      <c r="H82" s="73">
        <v>-24498000</v>
      </c>
      <c r="I82" s="73">
        <v>-36730000</v>
      </c>
      <c r="J82" s="163"/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</row>
    <row r="83" spans="1:20" s="7" customFormat="1" x14ac:dyDescent="0.2">
      <c r="A83" s="5"/>
      <c r="B83" s="9" t="s">
        <v>203</v>
      </c>
      <c r="C83" s="73"/>
      <c r="D83" s="73"/>
      <c r="E83" s="73"/>
      <c r="F83" s="73">
        <v>0</v>
      </c>
      <c r="G83" s="73">
        <v>10795000</v>
      </c>
      <c r="H83" s="73">
        <v>24352000</v>
      </c>
      <c r="I83" s="73">
        <v>35414000</v>
      </c>
      <c r="J83" s="163"/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</row>
    <row r="84" spans="1:20" s="7" customFormat="1" x14ac:dyDescent="0.2">
      <c r="A84" s="5"/>
      <c r="B84" s="170" t="s">
        <v>315</v>
      </c>
      <c r="C84" s="171"/>
      <c r="D84" s="171"/>
      <c r="E84" s="171"/>
      <c r="F84" s="29">
        <f>SUM(F82:F83)</f>
        <v>0</v>
      </c>
      <c r="G84" s="29">
        <f>SUM(G82:G83)</f>
        <v>-675000</v>
      </c>
      <c r="H84" s="29">
        <f t="shared" ref="H84" si="112">SUM(H82:H83)</f>
        <v>-146000</v>
      </c>
      <c r="I84" s="29">
        <f>SUM(I82:I83)</f>
        <v>-1316000</v>
      </c>
      <c r="J84" s="172">
        <f>I84</f>
        <v>-1316000</v>
      </c>
      <c r="K84" s="29">
        <f>J84*(1+K75)</f>
        <v>-1263791.6314964427</v>
      </c>
      <c r="L84" s="29">
        <f t="shared" ref="L84:T84" si="113">K84*(1+L75)</f>
        <v>-1213654.474042888</v>
      </c>
      <c r="M84" s="29">
        <f t="shared" si="113"/>
        <v>-1165506.3585285856</v>
      </c>
      <c r="N84" s="29">
        <f t="shared" si="113"/>
        <v>-1119268.3756567775</v>
      </c>
      <c r="O84" s="29">
        <f t="shared" si="113"/>
        <v>-1074864.7466213163</v>
      </c>
      <c r="P84" s="29">
        <f t="shared" si="113"/>
        <v>-1032222.6989138024</v>
      </c>
      <c r="Q84" s="29">
        <f t="shared" si="113"/>
        <v>-991272.3470577019</v>
      </c>
      <c r="R84" s="29">
        <f t="shared" si="113"/>
        <v>-951946.57807398262</v>
      </c>
      <c r="S84" s="29">
        <f t="shared" si="113"/>
        <v>-914180.94149055798</v>
      </c>
      <c r="T84" s="29">
        <f t="shared" si="113"/>
        <v>-877913.54371527839</v>
      </c>
    </row>
    <row r="85" spans="1:20" s="7" customFormat="1" x14ac:dyDescent="0.2">
      <c r="A85" s="5"/>
      <c r="B85" s="173"/>
      <c r="C85" s="174"/>
      <c r="D85" s="174"/>
      <c r="E85" s="174"/>
      <c r="F85" s="49"/>
      <c r="G85" s="49"/>
      <c r="H85" s="49"/>
      <c r="I85" s="49"/>
      <c r="J85" s="175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1:20" s="78" customFormat="1" x14ac:dyDescent="0.2">
      <c r="A86" s="76"/>
      <c r="B86" s="118" t="s">
        <v>20</v>
      </c>
      <c r="C86" s="14">
        <f t="shared" ref="C86:F86" si="114">SUM(C87:C90)</f>
        <v>-116000</v>
      </c>
      <c r="D86" s="14">
        <f t="shared" si="114"/>
        <v>-104000</v>
      </c>
      <c r="E86" s="14">
        <f t="shared" si="114"/>
        <v>-253000</v>
      </c>
      <c r="F86" s="14">
        <f t="shared" si="114"/>
        <v>-454000</v>
      </c>
      <c r="G86" s="27">
        <f>SUM(G87:G90)</f>
        <v>-1314000</v>
      </c>
      <c r="H86" s="14">
        <f>SUM(H87:H90)</f>
        <v>-558000</v>
      </c>
      <c r="I86" s="14">
        <f>SUM(I87:I90)</f>
        <v>-1064000</v>
      </c>
      <c r="J86" s="164"/>
      <c r="K86" s="14">
        <f>SUM(K87:K90)</f>
        <v>-1512342.9789997141</v>
      </c>
      <c r="L86" s="14">
        <f t="shared" ref="L86:T86" si="115">SUM(L87:L90)</f>
        <v>-1404184.9253856684</v>
      </c>
      <c r="M86" s="14">
        <f t="shared" si="115"/>
        <v>-1471880.8622731562</v>
      </c>
      <c r="N86" s="14">
        <f t="shared" si="115"/>
        <v>-1532460.2325934987</v>
      </c>
      <c r="O86" s="14">
        <f t="shared" si="115"/>
        <v>-1588362.2531826212</v>
      </c>
      <c r="P86" s="14">
        <f t="shared" si="115"/>
        <v>-1638931.4828897563</v>
      </c>
      <c r="Q86" s="14">
        <f t="shared" si="115"/>
        <v>-1683569.3949026647</v>
      </c>
      <c r="R86" s="14">
        <f t="shared" si="115"/>
        <v>-1721926.9878250661</v>
      </c>
      <c r="S86" s="14">
        <f t="shared" si="115"/>
        <v>-1757123.8040237001</v>
      </c>
      <c r="T86" s="14">
        <f t="shared" si="115"/>
        <v>-1789135.1491021093</v>
      </c>
    </row>
    <row r="87" spans="1:20" s="7" customFormat="1" x14ac:dyDescent="0.2">
      <c r="A87" s="5"/>
      <c r="B87" s="12" t="s">
        <v>21</v>
      </c>
      <c r="C87" s="74">
        <f t="shared" ref="C87:H87" si="116">C222</f>
        <v>-120000</v>
      </c>
      <c r="D87" s="74">
        <f t="shared" si="116"/>
        <v>-100000</v>
      </c>
      <c r="E87" s="74">
        <f t="shared" si="116"/>
        <v>-222000</v>
      </c>
      <c r="F87" s="74">
        <f t="shared" si="116"/>
        <v>-163000</v>
      </c>
      <c r="G87" s="74">
        <f t="shared" si="116"/>
        <v>-114000</v>
      </c>
      <c r="H87" s="74">
        <f t="shared" si="116"/>
        <v>85000</v>
      </c>
      <c r="I87" s="74">
        <v>144000</v>
      </c>
      <c r="J87" s="163"/>
      <c r="K87" s="7">
        <f>J121-K121</f>
        <v>-292483.14920035121</v>
      </c>
      <c r="L87" s="7">
        <f t="shared" ref="L87:T87" si="117">K121-L121</f>
        <v>-51266.0526445047</v>
      </c>
      <c r="M87" s="7">
        <f t="shared" si="117"/>
        <v>-45810.2482712192</v>
      </c>
      <c r="N87" s="7">
        <f t="shared" si="117"/>
        <v>-42310.054226151668</v>
      </c>
      <c r="O87" s="7">
        <f t="shared" si="117"/>
        <v>-38313.995710013201</v>
      </c>
      <c r="P87" s="7">
        <f t="shared" si="117"/>
        <v>-33864.488261157181</v>
      </c>
      <c r="Q87" s="7">
        <f t="shared" si="117"/>
        <v>-29013.623317349004</v>
      </c>
      <c r="R87" s="7">
        <f t="shared" si="117"/>
        <v>-26640.724646643968</v>
      </c>
      <c r="S87" s="7">
        <f t="shared" si="117"/>
        <v>-24090.827470755903</v>
      </c>
      <c r="T87" s="7">
        <f t="shared" si="117"/>
        <v>-24658.932507982478</v>
      </c>
    </row>
    <row r="88" spans="1:20" s="7" customFormat="1" x14ac:dyDescent="0.2">
      <c r="A88" s="5"/>
      <c r="B88" s="12" t="s">
        <v>198</v>
      </c>
      <c r="C88" s="74"/>
      <c r="D88" s="74"/>
      <c r="E88" s="74"/>
      <c r="F88" s="74">
        <v>-1230000</v>
      </c>
      <c r="G88" s="74">
        <v>-1188000</v>
      </c>
      <c r="H88" s="74">
        <v>-1131000</v>
      </c>
      <c r="I88" s="74">
        <v>-1318000</v>
      </c>
      <c r="J88" s="163"/>
      <c r="K88" s="7">
        <f t="shared" ref="K88:T88" si="118">-K76*K55</f>
        <v>-1400913.9980295568</v>
      </c>
      <c r="L88" s="7">
        <f t="shared" si="118"/>
        <v>-1468958.0315395361</v>
      </c>
      <c r="M88" s="7">
        <f t="shared" si="118"/>
        <v>-1529760.7246995177</v>
      </c>
      <c r="N88" s="7">
        <f t="shared" si="118"/>
        <v>-1585917.7057633193</v>
      </c>
      <c r="O88" s="7">
        <f t="shared" si="118"/>
        <v>-1636770.8273420641</v>
      </c>
      <c r="P88" s="7">
        <f t="shared" si="118"/>
        <v>-1681718.2390341451</v>
      </c>
      <c r="Q88" s="7">
        <f t="shared" si="118"/>
        <v>-1720227.2299826269</v>
      </c>
      <c r="R88" s="7">
        <f t="shared" si="118"/>
        <v>-1755586.7372408998</v>
      </c>
      <c r="S88" s="7">
        <f t="shared" si="118"/>
        <v>-1787561.8355202666</v>
      </c>
      <c r="T88" s="7">
        <f t="shared" si="118"/>
        <v>-1820290.9641217706</v>
      </c>
    </row>
    <row r="89" spans="1:20" s="7" customFormat="1" x14ac:dyDescent="0.2">
      <c r="A89" s="5"/>
      <c r="B89" s="12" t="s">
        <v>441</v>
      </c>
      <c r="C89" s="74"/>
      <c r="D89" s="74"/>
      <c r="E89" s="74"/>
      <c r="F89" s="74">
        <f>118000+856000</f>
        <v>974000</v>
      </c>
      <c r="G89" s="74">
        <f>-116000+97000</f>
        <v>-19000</v>
      </c>
      <c r="H89" s="74">
        <f>-393000+798000</f>
        <v>405000</v>
      </c>
      <c r="I89" s="74">
        <f>-493000+599000</f>
        <v>106000</v>
      </c>
      <c r="J89" s="163"/>
      <c r="K89" s="7">
        <f>(J124-K124)+(K133-J133)</f>
        <v>111591.097958453</v>
      </c>
      <c r="L89" s="7">
        <f>(K124-L124)+(L133-K133)</f>
        <v>102562.45253524184</v>
      </c>
      <c r="M89" s="7">
        <f t="shared" ref="M89:T89" si="119">(L124-M124)+(M133-L133)</f>
        <v>91647.614192664623</v>
      </c>
      <c r="N89" s="7">
        <f t="shared" si="119"/>
        <v>84645.154141746461</v>
      </c>
      <c r="O89" s="7">
        <f t="shared" si="119"/>
        <v>76650.671618752182</v>
      </c>
      <c r="P89" s="7">
        <f t="shared" si="119"/>
        <v>67749.022808507085</v>
      </c>
      <c r="Q89" s="7">
        <f t="shared" si="119"/>
        <v>58044.421422407031</v>
      </c>
      <c r="R89" s="7">
        <f t="shared" si="119"/>
        <v>53297.219429448247</v>
      </c>
      <c r="S89" s="7">
        <f t="shared" si="119"/>
        <v>48195.915650807321</v>
      </c>
      <c r="T89" s="7">
        <f t="shared" si="119"/>
        <v>49332.462018422782</v>
      </c>
    </row>
    <row r="90" spans="1:20" s="7" customFormat="1" x14ac:dyDescent="0.2">
      <c r="A90" s="5"/>
      <c r="B90" s="12" t="s">
        <v>22</v>
      </c>
      <c r="C90" s="74">
        <f t="shared" ref="C90:H90" si="120">C225</f>
        <v>4000</v>
      </c>
      <c r="D90" s="74">
        <f t="shared" si="120"/>
        <v>-4000</v>
      </c>
      <c r="E90" s="74">
        <f t="shared" si="120"/>
        <v>-31000</v>
      </c>
      <c r="F90" s="74">
        <f t="shared" si="120"/>
        <v>-35000</v>
      </c>
      <c r="G90" s="74">
        <f t="shared" si="120"/>
        <v>7000</v>
      </c>
      <c r="H90" s="74">
        <f t="shared" si="120"/>
        <v>83000</v>
      </c>
      <c r="I90" s="74">
        <v>4000</v>
      </c>
      <c r="J90" s="163"/>
      <c r="K90" s="7">
        <f>K132-J132</f>
        <v>69463.0702717409</v>
      </c>
      <c r="L90" s="7">
        <f t="shared" ref="L90:T90" si="121">L132-K132</f>
        <v>13476.706263130414</v>
      </c>
      <c r="M90" s="7">
        <f t="shared" si="121"/>
        <v>12042.496504916169</v>
      </c>
      <c r="N90" s="7">
        <f t="shared" si="121"/>
        <v>11122.373254225706</v>
      </c>
      <c r="O90" s="7">
        <f t="shared" si="121"/>
        <v>10071.898250703991</v>
      </c>
      <c r="P90" s="7">
        <f t="shared" si="121"/>
        <v>8902.2215970389079</v>
      </c>
      <c r="Q90" s="7">
        <f t="shared" si="121"/>
        <v>7627.0369749042438</v>
      </c>
      <c r="R90" s="7">
        <f t="shared" si="121"/>
        <v>7003.2546330295154</v>
      </c>
      <c r="S90" s="7">
        <f t="shared" si="121"/>
        <v>6332.9433165150695</v>
      </c>
      <c r="T90" s="7">
        <f t="shared" si="121"/>
        <v>6482.2855092210812</v>
      </c>
    </row>
    <row r="91" spans="1:20" s="7" customFormat="1" x14ac:dyDescent="0.2">
      <c r="A91" s="5"/>
      <c r="B91" s="12"/>
      <c r="C91" s="74"/>
      <c r="D91" s="74"/>
      <c r="E91" s="74"/>
      <c r="F91" s="74"/>
      <c r="G91" s="74"/>
      <c r="H91" s="74"/>
      <c r="I91" s="74"/>
      <c r="J91" s="163"/>
    </row>
    <row r="92" spans="1:20" s="7" customFormat="1" x14ac:dyDescent="0.2">
      <c r="A92" s="5"/>
      <c r="B92" s="9" t="s">
        <v>88</v>
      </c>
      <c r="C92" s="75">
        <f t="shared" ref="C92:E92" si="122">C214++C215+C216+C217+C218+C219+C220+C221+C223+C224+C226+C227+C228+C211</f>
        <v>-205000</v>
      </c>
      <c r="D92" s="75">
        <f t="shared" si="122"/>
        <v>-809000</v>
      </c>
      <c r="E92" s="75">
        <f t="shared" si="122"/>
        <v>-217000</v>
      </c>
      <c r="F92" s="73">
        <f>5813000-SUM(F79:F86)+F82+F83</f>
        <v>1270000</v>
      </c>
      <c r="G92" s="73">
        <f>4843000-SUM(G79:G86)+G82+G83</f>
        <v>39000</v>
      </c>
      <c r="H92" s="73">
        <f>7450000-SUM(H79:H86)+H82+H83</f>
        <v>1745000</v>
      </c>
      <c r="I92" s="73">
        <f>6416000-SUM(I79:I86)+I82+I83</f>
        <v>1598000</v>
      </c>
      <c r="J92" s="163"/>
      <c r="K92" s="73">
        <v>0</v>
      </c>
      <c r="L92" s="73">
        <v>0</v>
      </c>
      <c r="M92" s="73">
        <v>0</v>
      </c>
      <c r="N92" s="73">
        <v>0</v>
      </c>
      <c r="O92" s="73">
        <v>0</v>
      </c>
      <c r="P92" s="73">
        <v>0</v>
      </c>
      <c r="Q92" s="73">
        <v>0</v>
      </c>
      <c r="R92" s="73">
        <v>0</v>
      </c>
      <c r="S92" s="73">
        <v>0</v>
      </c>
      <c r="T92" s="73">
        <v>0</v>
      </c>
    </row>
    <row r="93" spans="1:20" s="7" customFormat="1" x14ac:dyDescent="0.2">
      <c r="A93" s="5"/>
      <c r="B93" s="206" t="s">
        <v>17</v>
      </c>
      <c r="C93" s="207" t="e">
        <f>+C79+C80+C86+C92+C81</f>
        <v>#REF!</v>
      </c>
      <c r="D93" s="207" t="e">
        <f>+D79+D80+D86+D92+D81</f>
        <v>#REF!</v>
      </c>
      <c r="E93" s="207" t="e">
        <f>+E79+E80+E86+E92+E81</f>
        <v>#REF!</v>
      </c>
      <c r="F93" s="207">
        <f>F79+F80+F81+F84+F86+F92</f>
        <v>5813000</v>
      </c>
      <c r="G93" s="207">
        <f>G79+G80+G81+G84+G86+G92</f>
        <v>4843000</v>
      </c>
      <c r="H93" s="207">
        <f>H79+H80+H81+H84+H86+H92</f>
        <v>7450000</v>
      </c>
      <c r="I93" s="207">
        <f>I79+I80+I81+I84+I86+I92</f>
        <v>6416000</v>
      </c>
      <c r="J93" s="208"/>
      <c r="K93" s="207">
        <f t="shared" ref="K93:T93" si="123">K79+K80+K81+K84+K86+K92</f>
        <v>2754533.099121375</v>
      </c>
      <c r="L93" s="207">
        <f t="shared" si="123"/>
        <v>3293525.1519424156</v>
      </c>
      <c r="M93" s="207">
        <f t="shared" si="123"/>
        <v>3635873.0110804164</v>
      </c>
      <c r="N93" s="207">
        <f t="shared" si="123"/>
        <v>3396080.2167252474</v>
      </c>
      <c r="O93" s="207">
        <f t="shared" si="123"/>
        <v>3722991.5336457524</v>
      </c>
      <c r="P93" s="207">
        <f t="shared" si="123"/>
        <v>3897585.2313440042</v>
      </c>
      <c r="Q93" s="207">
        <f t="shared" si="123"/>
        <v>4051342.468363876</v>
      </c>
      <c r="R93" s="207">
        <f t="shared" si="123"/>
        <v>4196389.416539602</v>
      </c>
      <c r="S93" s="207">
        <f t="shared" si="123"/>
        <v>4328989.9049907196</v>
      </c>
      <c r="T93" s="207">
        <f t="shared" si="123"/>
        <v>4464056.0939188842</v>
      </c>
    </row>
    <row r="94" spans="1:20" x14ac:dyDescent="0.2">
      <c r="B94" s="48"/>
      <c r="C94" s="47"/>
      <c r="D94" s="49"/>
      <c r="E94" s="49"/>
      <c r="F94" s="49"/>
      <c r="G94" s="49"/>
      <c r="H94" s="49"/>
      <c r="I94" s="49"/>
      <c r="J94" s="161"/>
      <c r="K94" s="49"/>
      <c r="L94" s="49"/>
      <c r="M94" s="49"/>
      <c r="N94" s="49"/>
      <c r="O94" s="49"/>
      <c r="P94" s="49"/>
      <c r="Q94" s="49"/>
      <c r="R94" s="49"/>
    </row>
    <row r="95" spans="1:20" x14ac:dyDescent="0.2">
      <c r="B95" s="9" t="s">
        <v>204</v>
      </c>
      <c r="C95" s="73">
        <f>'Operating Model'!C232</f>
        <v>-704000</v>
      </c>
      <c r="D95" s="73">
        <f>'Operating Model'!D232</f>
        <v>-866000</v>
      </c>
      <c r="E95" s="73">
        <f>'Operating Model'!E232</f>
        <v>-908000</v>
      </c>
      <c r="F95" s="80">
        <f>'Operating Model'!F232</f>
        <v>-706000</v>
      </c>
      <c r="G95" s="80">
        <f>'Operating Model'!G232</f>
        <v>-623000</v>
      </c>
      <c r="H95" s="80">
        <f>'Operating Model'!H232</f>
        <v>-683000</v>
      </c>
      <c r="I95" s="80">
        <v>-852000</v>
      </c>
      <c r="J95" s="161"/>
      <c r="K95" s="6">
        <f t="shared" ref="K95:T95" si="124">-K47*K55</f>
        <v>-700456.99901477841</v>
      </c>
      <c r="L95" s="6">
        <f t="shared" si="124"/>
        <v>-734479.01576976804</v>
      </c>
      <c r="M95" s="6">
        <f t="shared" si="124"/>
        <v>-764880.36234975886</v>
      </c>
      <c r="N95" s="6">
        <f t="shared" si="124"/>
        <v>-792958.85288165964</v>
      </c>
      <c r="O95" s="6">
        <f t="shared" si="124"/>
        <v>-818385.41367103206</v>
      </c>
      <c r="P95" s="6">
        <f t="shared" si="124"/>
        <v>-840859.11951707257</v>
      </c>
      <c r="Q95" s="6">
        <f t="shared" si="124"/>
        <v>-860113.61499131343</v>
      </c>
      <c r="R95" s="6">
        <f t="shared" si="124"/>
        <v>-877793.36862044991</v>
      </c>
      <c r="S95" s="6">
        <f t="shared" si="124"/>
        <v>-893780.91776013328</v>
      </c>
      <c r="T95" s="6">
        <f t="shared" si="124"/>
        <v>-910145.48206088529</v>
      </c>
    </row>
    <row r="96" spans="1:20" x14ac:dyDescent="0.2">
      <c r="B96" s="9" t="s">
        <v>439</v>
      </c>
      <c r="C96" s="73"/>
      <c r="D96" s="73"/>
      <c r="E96" s="73"/>
      <c r="F96" s="73">
        <v>-28170000</v>
      </c>
      <c r="G96" s="73">
        <f>-25198000+26660000</f>
        <v>1462000</v>
      </c>
      <c r="H96" s="73">
        <f>-21807000+20272000</f>
        <v>-1535000</v>
      </c>
      <c r="I96" s="73">
        <f>-20190000+19688000</f>
        <v>-502000</v>
      </c>
      <c r="J96" s="161"/>
      <c r="K96" s="6">
        <f t="shared" ref="K96:T96" si="125">K77*K55</f>
        <v>-700456.99901477841</v>
      </c>
      <c r="L96" s="6">
        <f t="shared" si="125"/>
        <v>-734479.01576976804</v>
      </c>
      <c r="M96" s="6">
        <f t="shared" si="125"/>
        <v>-764880.36234975886</v>
      </c>
      <c r="N96" s="6">
        <f t="shared" si="125"/>
        <v>-792958.85288165964</v>
      </c>
      <c r="O96" s="6">
        <f t="shared" si="125"/>
        <v>-818385.41367103206</v>
      </c>
      <c r="P96" s="6">
        <f t="shared" si="125"/>
        <v>-840859.11951707257</v>
      </c>
      <c r="Q96" s="6">
        <f t="shared" si="125"/>
        <v>-860113.61499131343</v>
      </c>
      <c r="R96" s="6">
        <f t="shared" si="125"/>
        <v>-877793.36862044991</v>
      </c>
      <c r="S96" s="6">
        <f t="shared" si="125"/>
        <v>-893780.91776013328</v>
      </c>
      <c r="T96" s="6">
        <f t="shared" si="125"/>
        <v>-910145.48206088529</v>
      </c>
    </row>
    <row r="97" spans="1:20" x14ac:dyDescent="0.2">
      <c r="B97" s="9" t="s">
        <v>205</v>
      </c>
      <c r="C97" s="73"/>
      <c r="D97" s="73"/>
      <c r="E97" s="73"/>
      <c r="F97" s="73">
        <v>-20219000</v>
      </c>
      <c r="G97" s="73">
        <v>-21980000</v>
      </c>
      <c r="H97" s="73">
        <v>-26209000</v>
      </c>
      <c r="I97" s="73">
        <v>-20399000</v>
      </c>
      <c r="J97" s="161"/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</row>
    <row r="98" spans="1:20" s="7" customFormat="1" x14ac:dyDescent="0.2">
      <c r="A98" s="5"/>
      <c r="B98" s="9" t="s">
        <v>89</v>
      </c>
      <c r="C98" s="73">
        <f>SUM(C230:C244) - C232</f>
        <v>-5038000</v>
      </c>
      <c r="D98" s="73">
        <f>SUM(D230:D244) - D232</f>
        <v>-15352000</v>
      </c>
      <c r="E98" s="73">
        <f>SUM(E230:E244) - E232</f>
        <v>-4577000</v>
      </c>
      <c r="F98" s="73">
        <f>-3328000-SUM(F95:F97)</f>
        <v>45767000</v>
      </c>
      <c r="G98" s="73">
        <f>752000-SUM(G95:G97)</f>
        <v>21893000</v>
      </c>
      <c r="H98" s="73">
        <f>1689000-SUM(H95:H97)</f>
        <v>30116000</v>
      </c>
      <c r="I98" s="73">
        <f>797000-SUM(I95:I97)</f>
        <v>22550000</v>
      </c>
      <c r="J98" s="163"/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</row>
    <row r="99" spans="1:20" s="124" customFormat="1" x14ac:dyDescent="0.2">
      <c r="A99" s="123"/>
      <c r="B99" s="206" t="s">
        <v>23</v>
      </c>
      <c r="C99" s="207">
        <f t="shared" ref="C99:I99" si="126">SUM(C95:C98)</f>
        <v>-5742000</v>
      </c>
      <c r="D99" s="207">
        <f t="shared" si="126"/>
        <v>-16218000</v>
      </c>
      <c r="E99" s="207">
        <f t="shared" si="126"/>
        <v>-5485000</v>
      </c>
      <c r="F99" s="207">
        <f t="shared" si="126"/>
        <v>-3328000</v>
      </c>
      <c r="G99" s="207">
        <f t="shared" si="126"/>
        <v>752000</v>
      </c>
      <c r="H99" s="207">
        <f t="shared" si="126"/>
        <v>1689000</v>
      </c>
      <c r="I99" s="207">
        <f t="shared" si="126"/>
        <v>797000</v>
      </c>
      <c r="J99" s="208"/>
      <c r="K99" s="207">
        <f t="shared" ref="K99:T99" si="127">SUM(K95:K98)</f>
        <v>-1400913.9980295568</v>
      </c>
      <c r="L99" s="207">
        <f t="shared" si="127"/>
        <v>-1468958.0315395361</v>
      </c>
      <c r="M99" s="207">
        <f t="shared" si="127"/>
        <v>-1529760.7246995177</v>
      </c>
      <c r="N99" s="207">
        <f t="shared" si="127"/>
        <v>-1585917.7057633193</v>
      </c>
      <c r="O99" s="207">
        <f t="shared" si="127"/>
        <v>-1636770.8273420641</v>
      </c>
      <c r="P99" s="207">
        <f t="shared" si="127"/>
        <v>-1681718.2390341451</v>
      </c>
      <c r="Q99" s="207">
        <f t="shared" si="127"/>
        <v>-1720227.2299826269</v>
      </c>
      <c r="R99" s="207">
        <f t="shared" si="127"/>
        <v>-1755586.7372408998</v>
      </c>
      <c r="S99" s="207">
        <f t="shared" si="127"/>
        <v>-1787561.8355202666</v>
      </c>
      <c r="T99" s="207">
        <f t="shared" si="127"/>
        <v>-1820290.9641217706</v>
      </c>
    </row>
    <row r="100" spans="1:20" x14ac:dyDescent="0.2">
      <c r="B100" s="48"/>
      <c r="C100" s="49"/>
      <c r="D100" s="49"/>
      <c r="E100" s="49"/>
      <c r="F100" s="49"/>
      <c r="G100" s="49"/>
      <c r="H100" s="49"/>
      <c r="I100" s="49"/>
      <c r="J100" s="161"/>
      <c r="K100" s="49"/>
      <c r="L100" s="49"/>
      <c r="M100" s="49"/>
      <c r="N100" s="49"/>
      <c r="O100" s="49"/>
      <c r="P100" s="49"/>
      <c r="Q100" s="49"/>
      <c r="R100" s="49"/>
      <c r="S100" s="49"/>
      <c r="T100" s="49"/>
    </row>
    <row r="101" spans="1:20" x14ac:dyDescent="0.2">
      <c r="B101" s="206" t="s">
        <v>24</v>
      </c>
      <c r="C101" s="207">
        <f t="shared" ref="C101:H101" si="128">SUM(C246:C255)</f>
        <v>4187000</v>
      </c>
      <c r="D101" s="207">
        <f t="shared" si="128"/>
        <v>12492000</v>
      </c>
      <c r="E101" s="207">
        <f t="shared" si="128"/>
        <v>-764000</v>
      </c>
      <c r="F101" s="210">
        <f t="shared" si="128"/>
        <v>-1203000</v>
      </c>
      <c r="G101" s="210">
        <f t="shared" si="128"/>
        <v>-2993000</v>
      </c>
      <c r="H101" s="210">
        <f t="shared" si="128"/>
        <v>-8276000</v>
      </c>
      <c r="I101" s="210">
        <v>-5958000</v>
      </c>
      <c r="J101" s="211"/>
      <c r="K101" s="207">
        <v>0</v>
      </c>
      <c r="L101" s="207">
        <v>0</v>
      </c>
      <c r="M101" s="207">
        <v>0</v>
      </c>
      <c r="N101" s="207">
        <v>0</v>
      </c>
      <c r="O101" s="207">
        <v>0</v>
      </c>
      <c r="P101" s="207">
        <v>0</v>
      </c>
      <c r="Q101" s="207">
        <v>0</v>
      </c>
      <c r="R101" s="207">
        <v>0</v>
      </c>
      <c r="S101" s="207">
        <v>0</v>
      </c>
      <c r="T101" s="207">
        <v>0</v>
      </c>
    </row>
    <row r="102" spans="1:20" x14ac:dyDescent="0.2">
      <c r="B102" s="11"/>
      <c r="G102" s="26"/>
      <c r="J102" s="161"/>
    </row>
    <row r="103" spans="1:20" x14ac:dyDescent="0.2">
      <c r="B103" s="28" t="s">
        <v>25</v>
      </c>
      <c r="C103" s="29" t="e">
        <f t="shared" ref="C103:I103" si="129">+C93+C101+C99</f>
        <v>#REF!</v>
      </c>
      <c r="D103" s="29" t="e">
        <f t="shared" si="129"/>
        <v>#REF!</v>
      </c>
      <c r="E103" s="29" t="e">
        <f t="shared" si="129"/>
        <v>#REF!</v>
      </c>
      <c r="F103" s="29">
        <f t="shared" si="129"/>
        <v>1282000</v>
      </c>
      <c r="G103" s="29">
        <f t="shared" si="129"/>
        <v>2602000</v>
      </c>
      <c r="H103" s="29">
        <f t="shared" si="129"/>
        <v>863000</v>
      </c>
      <c r="I103" s="29">
        <f t="shared" si="129"/>
        <v>1255000</v>
      </c>
      <c r="J103" s="209"/>
      <c r="K103" s="29">
        <f t="shared" ref="K103:T103" si="130">+K93+K101+K99</f>
        <v>1353619.1010918182</v>
      </c>
      <c r="L103" s="29">
        <f t="shared" si="130"/>
        <v>1824567.1204028795</v>
      </c>
      <c r="M103" s="29">
        <f t="shared" si="130"/>
        <v>2106112.2863808987</v>
      </c>
      <c r="N103" s="29">
        <f t="shared" si="130"/>
        <v>1810162.5109619282</v>
      </c>
      <c r="O103" s="29">
        <f t="shared" si="130"/>
        <v>2086220.7063036882</v>
      </c>
      <c r="P103" s="29">
        <f t="shared" si="130"/>
        <v>2215866.992309859</v>
      </c>
      <c r="Q103" s="29">
        <f t="shared" si="130"/>
        <v>2331115.2383812489</v>
      </c>
      <c r="R103" s="29">
        <f t="shared" si="130"/>
        <v>2440802.6792987022</v>
      </c>
      <c r="S103" s="29">
        <f t="shared" si="130"/>
        <v>2541428.0694704531</v>
      </c>
      <c r="T103" s="29">
        <f t="shared" si="130"/>
        <v>2643765.1297971136</v>
      </c>
    </row>
    <row r="104" spans="1:20" s="7" customFormat="1" x14ac:dyDescent="0.2">
      <c r="A104" s="5"/>
      <c r="B104" s="15" t="s">
        <v>71</v>
      </c>
      <c r="C104" s="6" t="e">
        <f>#REF!</f>
        <v>#REF!</v>
      </c>
      <c r="D104" s="6" t="e">
        <f>#REF!</f>
        <v>#REF!</v>
      </c>
      <c r="E104" s="6" t="e">
        <f>#REF!</f>
        <v>#REF!</v>
      </c>
      <c r="F104" s="73">
        <v>-155000</v>
      </c>
      <c r="G104" s="73">
        <v>76000</v>
      </c>
      <c r="H104" s="73">
        <v>-207000</v>
      </c>
      <c r="I104" s="73">
        <v>273000</v>
      </c>
      <c r="J104" s="163"/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</row>
    <row r="105" spans="1:20" s="7" customFormat="1" x14ac:dyDescent="0.2">
      <c r="A105" s="5"/>
      <c r="B105" s="16" t="s">
        <v>206</v>
      </c>
      <c r="C105" s="6"/>
      <c r="D105" s="6"/>
      <c r="E105" s="6"/>
      <c r="F105" s="49">
        <f>SUM(F103:F104)</f>
        <v>1127000</v>
      </c>
      <c r="G105" s="49">
        <f t="shared" ref="G105:I105" si="131">SUM(G103:G104)</f>
        <v>2678000</v>
      </c>
      <c r="H105" s="49">
        <f t="shared" si="131"/>
        <v>656000</v>
      </c>
      <c r="I105" s="49">
        <f t="shared" si="131"/>
        <v>1528000</v>
      </c>
      <c r="J105" s="163"/>
      <c r="K105" s="49">
        <f t="shared" ref="K105:S105" si="132">SUM(K103:K104)</f>
        <v>1353619.1010918182</v>
      </c>
      <c r="L105" s="49">
        <f t="shared" si="132"/>
        <v>1824567.1204028795</v>
      </c>
      <c r="M105" s="49">
        <f t="shared" si="132"/>
        <v>2106112.2863808987</v>
      </c>
      <c r="N105" s="49">
        <f t="shared" si="132"/>
        <v>1810162.5109619282</v>
      </c>
      <c r="O105" s="49">
        <f t="shared" si="132"/>
        <v>2086220.7063036882</v>
      </c>
      <c r="P105" s="49">
        <f t="shared" si="132"/>
        <v>2215866.992309859</v>
      </c>
      <c r="Q105" s="49">
        <f t="shared" si="132"/>
        <v>2331115.2383812489</v>
      </c>
      <c r="R105" s="49">
        <f t="shared" si="132"/>
        <v>2440802.6792987022</v>
      </c>
      <c r="S105" s="49">
        <f t="shared" si="132"/>
        <v>2541428.0694704531</v>
      </c>
      <c r="T105" s="49">
        <f t="shared" ref="T105" si="133">SUM(T103:T104)</f>
        <v>2643765.1297971136</v>
      </c>
    </row>
    <row r="106" spans="1:20" s="7" customFormat="1" x14ac:dyDescent="0.2">
      <c r="A106" s="5"/>
      <c r="B106" s="15" t="s">
        <v>26</v>
      </c>
      <c r="C106" s="73">
        <f>C262</f>
        <v>13233000</v>
      </c>
      <c r="D106" s="6" t="e">
        <f>C108</f>
        <v>#REF!</v>
      </c>
      <c r="E106" s="6" t="e">
        <f>D108</f>
        <v>#REF!</v>
      </c>
      <c r="F106" s="73">
        <v>18029000</v>
      </c>
      <c r="G106" s="6">
        <f>F108</f>
        <v>19156000</v>
      </c>
      <c r="H106" s="6">
        <f>G108</f>
        <v>21834000</v>
      </c>
      <c r="I106" s="6">
        <f>H108</f>
        <v>22490000</v>
      </c>
      <c r="J106" s="163"/>
      <c r="K106" s="6">
        <f t="shared" ref="K106:T106" si="134">J108</f>
        <v>0</v>
      </c>
      <c r="L106" s="6">
        <f t="shared" si="134"/>
        <v>0</v>
      </c>
      <c r="M106" s="6">
        <f t="shared" si="134"/>
        <v>0</v>
      </c>
      <c r="N106" s="6">
        <f t="shared" si="134"/>
        <v>0</v>
      </c>
      <c r="O106" s="6">
        <f t="shared" si="134"/>
        <v>0</v>
      </c>
      <c r="P106" s="6">
        <f t="shared" si="134"/>
        <v>0</v>
      </c>
      <c r="Q106" s="6">
        <f t="shared" si="134"/>
        <v>0</v>
      </c>
      <c r="R106" s="6">
        <f t="shared" si="134"/>
        <v>0</v>
      </c>
      <c r="S106" s="6">
        <f t="shared" si="134"/>
        <v>0</v>
      </c>
      <c r="T106" s="6">
        <f t="shared" si="134"/>
        <v>0</v>
      </c>
    </row>
    <row r="107" spans="1:20" s="7" customFormat="1" x14ac:dyDescent="0.2">
      <c r="A107" s="5"/>
      <c r="B107" s="15"/>
      <c r="C107" s="8"/>
      <c r="D107" s="6"/>
      <c r="E107" s="6"/>
      <c r="F107" s="6"/>
      <c r="G107" s="26"/>
      <c r="H107" s="6"/>
      <c r="I107" s="6"/>
      <c r="J107" s="163"/>
      <c r="K107" s="6"/>
      <c r="L107" s="6"/>
      <c r="M107" s="6"/>
      <c r="N107" s="6"/>
      <c r="O107" s="6"/>
      <c r="P107" s="6"/>
      <c r="Q107" s="6"/>
      <c r="R107" s="6"/>
    </row>
    <row r="108" spans="1:20" s="7" customFormat="1" ht="15" x14ac:dyDescent="0.25">
      <c r="B108" s="79" t="s">
        <v>200</v>
      </c>
      <c r="C108" s="71" t="e">
        <f>SUM(C103:C107)</f>
        <v>#REF!</v>
      </c>
      <c r="D108" s="71" t="e">
        <f>SUM(D103:D107)</f>
        <v>#REF!</v>
      </c>
      <c r="E108" s="71" t="e">
        <f>SUM(E103:E107)</f>
        <v>#REF!</v>
      </c>
      <c r="F108" s="71">
        <f>F105+F106</f>
        <v>19156000</v>
      </c>
      <c r="G108" s="71">
        <f>G105+G106</f>
        <v>21834000</v>
      </c>
      <c r="H108" s="71">
        <f>H105+H106</f>
        <v>22490000</v>
      </c>
      <c r="I108" s="71">
        <f>I105+I106</f>
        <v>24018000</v>
      </c>
      <c r="J108" s="163"/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s="7" customFormat="1" x14ac:dyDescent="0.2">
      <c r="A109" s="5"/>
      <c r="B109" s="15" t="s">
        <v>199</v>
      </c>
      <c r="C109" s="6" t="e">
        <f>#REF!</f>
        <v>#REF!</v>
      </c>
      <c r="D109" s="6" t="e">
        <f>#REF!</f>
        <v>#REF!</v>
      </c>
      <c r="E109" s="6" t="e">
        <f>#REF!</f>
        <v>#REF!</v>
      </c>
      <c r="F109" s="73">
        <v>17000</v>
      </c>
      <c r="G109" s="73">
        <v>3000</v>
      </c>
      <c r="H109" s="73">
        <v>1000</v>
      </c>
      <c r="I109" s="73">
        <v>0</v>
      </c>
      <c r="J109" s="163"/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s="7" customFormat="1" x14ac:dyDescent="0.2">
      <c r="A110" s="5"/>
      <c r="B110" s="176" t="s">
        <v>314</v>
      </c>
      <c r="C110" s="6" t="e">
        <f>#REF!</f>
        <v>#REF!</v>
      </c>
      <c r="D110" s="6" t="e">
        <f>#REF!</f>
        <v>#REF!</v>
      </c>
      <c r="E110" s="6" t="e">
        <f>#REF!</f>
        <v>#REF!</v>
      </c>
      <c r="F110" s="73">
        <v>11363000</v>
      </c>
      <c r="G110" s="73">
        <v>12750000</v>
      </c>
      <c r="H110" s="73">
        <v>15827000</v>
      </c>
      <c r="I110" s="73">
        <v>15969000</v>
      </c>
      <c r="J110" s="163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1:20" s="7" customFormat="1" x14ac:dyDescent="0.2">
      <c r="A111" s="5"/>
      <c r="B111" s="15" t="s">
        <v>201</v>
      </c>
      <c r="C111" s="6"/>
      <c r="D111" s="6"/>
      <c r="E111" s="6"/>
      <c r="F111" s="6">
        <f>F108-F109-F110</f>
        <v>7776000</v>
      </c>
      <c r="G111" s="6">
        <f t="shared" ref="G111" si="135">G108-G109-G110</f>
        <v>9081000</v>
      </c>
      <c r="H111" s="6">
        <f>H108-H109-H110</f>
        <v>6662000</v>
      </c>
      <c r="I111" s="6">
        <f>I108-I109-I110</f>
        <v>8049000</v>
      </c>
      <c r="J111" s="161"/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x14ac:dyDescent="0.2">
      <c r="J112" s="161"/>
    </row>
    <row r="113" spans="1:20" x14ac:dyDescent="0.2">
      <c r="B113" s="11"/>
      <c r="J113" s="161"/>
    </row>
    <row r="114" spans="1:20" x14ac:dyDescent="0.2">
      <c r="B114" s="15"/>
      <c r="C114" s="14"/>
      <c r="D114" s="14"/>
      <c r="E114" s="14"/>
      <c r="F114" s="14"/>
      <c r="G114" s="14"/>
      <c r="J114" s="161"/>
    </row>
    <row r="115" spans="1:20" s="2" customFormat="1" ht="11.25" customHeight="1" x14ac:dyDescent="0.2">
      <c r="B115" s="59" t="s">
        <v>7</v>
      </c>
      <c r="J115" s="165"/>
    </row>
    <row r="116" spans="1:20" s="2" customFormat="1" x14ac:dyDescent="0.2">
      <c r="B116" s="64"/>
      <c r="C116" s="61"/>
      <c r="D116" s="61"/>
      <c r="E116" s="61"/>
      <c r="F116" s="61"/>
      <c r="G116" s="62"/>
      <c r="H116" s="63"/>
      <c r="I116" s="63"/>
      <c r="J116" s="158" t="s">
        <v>313</v>
      </c>
      <c r="K116" s="67"/>
      <c r="L116" s="67"/>
      <c r="M116" s="67"/>
      <c r="N116" s="67"/>
      <c r="O116" s="67"/>
      <c r="P116" s="67"/>
      <c r="Q116" s="67"/>
      <c r="R116" s="67"/>
      <c r="S116" s="67"/>
      <c r="T116" s="67"/>
    </row>
    <row r="117" spans="1:20" s="2" customFormat="1" x14ac:dyDescent="0.2">
      <c r="B117" s="5"/>
      <c r="C117" s="3"/>
      <c r="D117" s="3"/>
      <c r="E117" s="3"/>
      <c r="F117" s="3"/>
      <c r="G117" s="3"/>
      <c r="H117" s="4"/>
      <c r="I117" s="4"/>
      <c r="J117" s="165"/>
      <c r="K117" s="4"/>
      <c r="L117" s="4"/>
      <c r="M117" s="4"/>
      <c r="N117" s="4"/>
      <c r="O117" s="4"/>
      <c r="P117" s="4"/>
      <c r="Q117" s="4"/>
      <c r="R117" s="4"/>
      <c r="S117" s="4"/>
      <c r="T117" s="4"/>
    </row>
    <row r="118" spans="1:20" x14ac:dyDescent="0.2">
      <c r="B118" s="20" t="s">
        <v>8</v>
      </c>
      <c r="J118" s="161"/>
    </row>
    <row r="119" spans="1:20" x14ac:dyDescent="0.2">
      <c r="B119" s="15" t="s">
        <v>12</v>
      </c>
      <c r="C119" s="6" t="e">
        <f>'Operating Model'!#REF!</f>
        <v>#REF!</v>
      </c>
      <c r="D119" s="6" t="e">
        <f>'Operating Model'!#REF!</f>
        <v>#REF!</v>
      </c>
      <c r="E119" s="6" t="e">
        <f>'Operating Model'!#REF!</f>
        <v>#REF!</v>
      </c>
      <c r="F119" s="6">
        <f>F111</f>
        <v>7776000</v>
      </c>
      <c r="G119" s="6">
        <f>G111</f>
        <v>9081000</v>
      </c>
      <c r="H119" s="6">
        <f>H111</f>
        <v>6662000</v>
      </c>
      <c r="I119" s="6">
        <f>I111</f>
        <v>8049000</v>
      </c>
      <c r="J119" s="161">
        <v>8306000</v>
      </c>
      <c r="K119" s="6">
        <f t="shared" ref="K119:T119" si="136">J119+K103+K104</f>
        <v>9659619.1010918189</v>
      </c>
      <c r="L119" s="6">
        <f t="shared" si="136"/>
        <v>11484186.221494699</v>
      </c>
      <c r="M119" s="6">
        <f t="shared" si="136"/>
        <v>13590298.507875597</v>
      </c>
      <c r="N119" s="6">
        <f t="shared" si="136"/>
        <v>15400461.018837525</v>
      </c>
      <c r="O119" s="6">
        <f t="shared" si="136"/>
        <v>17486681.725141212</v>
      </c>
      <c r="P119" s="6">
        <f t="shared" si="136"/>
        <v>19702548.717451073</v>
      </c>
      <c r="Q119" s="6">
        <f t="shared" si="136"/>
        <v>22033663.955832321</v>
      </c>
      <c r="R119" s="6">
        <f t="shared" si="136"/>
        <v>24474466.635131024</v>
      </c>
      <c r="S119" s="6">
        <f t="shared" si="136"/>
        <v>27015894.704601478</v>
      </c>
      <c r="T119" s="6">
        <f t="shared" si="136"/>
        <v>29659659.83439859</v>
      </c>
    </row>
    <row r="120" spans="1:20" x14ac:dyDescent="0.2">
      <c r="B120" s="15" t="s">
        <v>199</v>
      </c>
      <c r="C120" s="73"/>
      <c r="D120" s="73"/>
      <c r="E120" s="73"/>
      <c r="F120" s="73">
        <v>3092000</v>
      </c>
      <c r="G120" s="73">
        <v>4979000</v>
      </c>
      <c r="H120" s="73">
        <v>4262000</v>
      </c>
      <c r="I120" s="73">
        <v>2373000</v>
      </c>
      <c r="J120" s="161">
        <v>2950000</v>
      </c>
      <c r="K120" s="6">
        <f>J120</f>
        <v>2950000</v>
      </c>
      <c r="L120" s="6">
        <f>K120</f>
        <v>2950000</v>
      </c>
      <c r="M120" s="6">
        <f t="shared" ref="M120:T120" si="137">L120</f>
        <v>2950000</v>
      </c>
      <c r="N120" s="6">
        <f t="shared" si="137"/>
        <v>2950000</v>
      </c>
      <c r="O120" s="6">
        <f t="shared" si="137"/>
        <v>2950000</v>
      </c>
      <c r="P120" s="6">
        <f t="shared" si="137"/>
        <v>2950000</v>
      </c>
      <c r="Q120" s="6">
        <f t="shared" si="137"/>
        <v>2950000</v>
      </c>
      <c r="R120" s="6">
        <f t="shared" si="137"/>
        <v>2950000</v>
      </c>
      <c r="S120" s="6">
        <f t="shared" si="137"/>
        <v>2950000</v>
      </c>
      <c r="T120" s="6">
        <f t="shared" si="137"/>
        <v>2950000</v>
      </c>
    </row>
    <row r="121" spans="1:20" s="7" customFormat="1" x14ac:dyDescent="0.2">
      <c r="A121" s="5"/>
      <c r="B121" s="15" t="s">
        <v>9</v>
      </c>
      <c r="C121" s="73">
        <f t="shared" ref="C121:H121" si="138">C165</f>
        <v>435000</v>
      </c>
      <c r="D121" s="73">
        <f t="shared" si="138"/>
        <v>577000</v>
      </c>
      <c r="E121" s="73">
        <f t="shared" si="138"/>
        <v>800000</v>
      </c>
      <c r="F121" s="73">
        <f t="shared" si="138"/>
        <v>963000</v>
      </c>
      <c r="G121" s="73">
        <f t="shared" si="138"/>
        <v>1069000</v>
      </c>
      <c r="H121" s="73">
        <f t="shared" si="138"/>
        <v>984000</v>
      </c>
      <c r="I121" s="73">
        <v>840000</v>
      </c>
      <c r="J121" s="161">
        <v>763000</v>
      </c>
      <c r="K121" s="6">
        <f t="shared" ref="K121:T121" si="139">K55/365*K149</f>
        <v>1055483.1492003512</v>
      </c>
      <c r="L121" s="6">
        <f t="shared" si="139"/>
        <v>1106749.2018448559</v>
      </c>
      <c r="M121" s="6">
        <f t="shared" si="139"/>
        <v>1152559.4501160751</v>
      </c>
      <c r="N121" s="6">
        <f t="shared" si="139"/>
        <v>1194869.5043422268</v>
      </c>
      <c r="O121" s="6">
        <f t="shared" si="139"/>
        <v>1233183.50005224</v>
      </c>
      <c r="P121" s="6">
        <f t="shared" si="139"/>
        <v>1267047.9883133972</v>
      </c>
      <c r="Q121" s="6">
        <f t="shared" si="139"/>
        <v>1296061.6116307462</v>
      </c>
      <c r="R121" s="6">
        <f t="shared" si="139"/>
        <v>1322702.3362773901</v>
      </c>
      <c r="S121" s="6">
        <f t="shared" si="139"/>
        <v>1346793.163748146</v>
      </c>
      <c r="T121" s="6">
        <f t="shared" si="139"/>
        <v>1371452.0962561285</v>
      </c>
    </row>
    <row r="122" spans="1:20" s="7" customFormat="1" x14ac:dyDescent="0.2">
      <c r="A122" s="5"/>
      <c r="B122" s="15" t="s">
        <v>207</v>
      </c>
      <c r="C122" s="73"/>
      <c r="D122" s="73"/>
      <c r="E122" s="73"/>
      <c r="F122" s="73">
        <v>0</v>
      </c>
      <c r="G122" s="73">
        <v>563000</v>
      </c>
      <c r="H122" s="73">
        <v>541000</v>
      </c>
      <c r="I122" s="73">
        <v>1726000</v>
      </c>
      <c r="J122" s="161">
        <v>1914000</v>
      </c>
      <c r="K122" s="6">
        <f t="shared" ref="K122:T122" si="140">J122-K84</f>
        <v>3177791.6314964425</v>
      </c>
      <c r="L122" s="6">
        <f t="shared" si="140"/>
        <v>4391446.1055393303</v>
      </c>
      <c r="M122" s="6">
        <f t="shared" si="140"/>
        <v>5556952.4640679155</v>
      </c>
      <c r="N122" s="6">
        <f t="shared" si="140"/>
        <v>6676220.8397246934</v>
      </c>
      <c r="O122" s="6">
        <f t="shared" si="140"/>
        <v>7751085.5863460097</v>
      </c>
      <c r="P122" s="6">
        <f t="shared" si="140"/>
        <v>8783308.2852598131</v>
      </c>
      <c r="Q122" s="6">
        <f t="shared" si="140"/>
        <v>9774580.6323175151</v>
      </c>
      <c r="R122" s="6">
        <f t="shared" si="140"/>
        <v>10726527.210391497</v>
      </c>
      <c r="S122" s="6">
        <f t="shared" si="140"/>
        <v>11640708.151882056</v>
      </c>
      <c r="T122" s="6">
        <f t="shared" si="140"/>
        <v>12518621.695597334</v>
      </c>
    </row>
    <row r="123" spans="1:20" s="7" customFormat="1" x14ac:dyDescent="0.2">
      <c r="A123" s="5"/>
      <c r="B123" s="15" t="s">
        <v>208</v>
      </c>
      <c r="C123" s="73"/>
      <c r="D123" s="73"/>
      <c r="E123" s="73"/>
      <c r="F123" s="73">
        <v>7431000</v>
      </c>
      <c r="G123" s="73">
        <v>5433000</v>
      </c>
      <c r="H123" s="73">
        <v>6422000</v>
      </c>
      <c r="I123" s="73">
        <v>6746000</v>
      </c>
      <c r="J123" s="161">
        <v>6847000</v>
      </c>
      <c r="K123" s="6">
        <f t="shared" ref="K123:T123" si="141">J123-K96</f>
        <v>7547456.9990147781</v>
      </c>
      <c r="L123" s="6">
        <f t="shared" si="141"/>
        <v>8281936.0147845466</v>
      </c>
      <c r="M123" s="6">
        <f t="shared" si="141"/>
        <v>9046816.3771343045</v>
      </c>
      <c r="N123" s="6">
        <f t="shared" si="141"/>
        <v>9839775.2300159633</v>
      </c>
      <c r="O123" s="6">
        <f t="shared" si="141"/>
        <v>10658160.643686995</v>
      </c>
      <c r="P123" s="6">
        <f t="shared" si="141"/>
        <v>11499019.763204068</v>
      </c>
      <c r="Q123" s="6">
        <f t="shared" si="141"/>
        <v>12359133.378195381</v>
      </c>
      <c r="R123" s="6">
        <f t="shared" si="141"/>
        <v>13236926.74681583</v>
      </c>
      <c r="S123" s="6">
        <f t="shared" si="141"/>
        <v>14130707.664575964</v>
      </c>
      <c r="T123" s="6">
        <f t="shared" si="141"/>
        <v>15040853.146636849</v>
      </c>
    </row>
    <row r="124" spans="1:20" s="7" customFormat="1" x14ac:dyDescent="0.2">
      <c r="A124" s="5"/>
      <c r="B124" s="176" t="s">
        <v>209</v>
      </c>
      <c r="C124" s="73"/>
      <c r="D124" s="73"/>
      <c r="E124" s="73"/>
      <c r="F124" s="73">
        <v>36264000</v>
      </c>
      <c r="G124" s="73">
        <v>38935000</v>
      </c>
      <c r="H124" s="73">
        <v>37671000</v>
      </c>
      <c r="I124" s="73">
        <v>38198000</v>
      </c>
      <c r="J124" s="161">
        <v>39743000</v>
      </c>
      <c r="K124" s="6">
        <f t="shared" ref="K124:T124" si="142">K151*K55</f>
        <v>40329278.379908517</v>
      </c>
      <c r="L124" s="6">
        <f t="shared" si="142"/>
        <v>42288118.660879053</v>
      </c>
      <c r="M124" s="6">
        <f t="shared" si="142"/>
        <v>44038496.444344766</v>
      </c>
      <c r="N124" s="6">
        <f t="shared" si="142"/>
        <v>45655134.243298009</v>
      </c>
      <c r="O124" s="6">
        <f t="shared" si="142"/>
        <v>47119085.420544557</v>
      </c>
      <c r="P124" s="6">
        <f t="shared" si="142"/>
        <v>48413024.007164389</v>
      </c>
      <c r="Q124" s="6">
        <f t="shared" si="142"/>
        <v>49521614.411910936</v>
      </c>
      <c r="R124" s="6">
        <f t="shared" si="142"/>
        <v>50539538.005793966</v>
      </c>
      <c r="S124" s="6">
        <f t="shared" si="142"/>
        <v>51460031.79880859</v>
      </c>
      <c r="T124" s="6">
        <f t="shared" si="142"/>
        <v>52402232.490898497</v>
      </c>
    </row>
    <row r="125" spans="1:20" s="7" customFormat="1" x14ac:dyDescent="0.2">
      <c r="A125" s="5"/>
      <c r="B125" s="15" t="s">
        <v>210</v>
      </c>
      <c r="C125" s="73"/>
      <c r="D125" s="73"/>
      <c r="E125" s="73"/>
      <c r="F125" s="73">
        <v>5018000</v>
      </c>
      <c r="G125" s="73">
        <v>3273000</v>
      </c>
      <c r="H125" s="73">
        <v>4583000</v>
      </c>
      <c r="I125" s="73">
        <v>4330000</v>
      </c>
      <c r="J125" s="161">
        <v>1823000</v>
      </c>
      <c r="K125" s="6">
        <f>J125</f>
        <v>1823000</v>
      </c>
      <c r="L125" s="6">
        <f t="shared" ref="L125:T125" si="143">K125</f>
        <v>1823000</v>
      </c>
      <c r="M125" s="6">
        <f t="shared" si="143"/>
        <v>1823000</v>
      </c>
      <c r="N125" s="6">
        <f t="shared" si="143"/>
        <v>1823000</v>
      </c>
      <c r="O125" s="6">
        <f t="shared" si="143"/>
        <v>1823000</v>
      </c>
      <c r="P125" s="6">
        <f t="shared" si="143"/>
        <v>1823000</v>
      </c>
      <c r="Q125" s="6">
        <f t="shared" si="143"/>
        <v>1823000</v>
      </c>
      <c r="R125" s="6">
        <f t="shared" si="143"/>
        <v>1823000</v>
      </c>
      <c r="S125" s="6">
        <f t="shared" si="143"/>
        <v>1823000</v>
      </c>
      <c r="T125" s="6">
        <f t="shared" si="143"/>
        <v>1823000</v>
      </c>
    </row>
    <row r="126" spans="1:20" x14ac:dyDescent="0.2">
      <c r="B126" s="2" t="s">
        <v>193</v>
      </c>
      <c r="C126" s="73">
        <f>'PPE Schedule'!C9</f>
        <v>0</v>
      </c>
      <c r="D126" s="73">
        <f>'PPE Schedule'!D9</f>
        <v>1807000</v>
      </c>
      <c r="E126" s="73">
        <f>'PPE Schedule'!E9</f>
        <v>1909000</v>
      </c>
      <c r="F126" s="73">
        <v>1730000</v>
      </c>
      <c r="G126" s="73">
        <v>1488000</v>
      </c>
      <c r="H126" s="73">
        <v>1508000</v>
      </c>
      <c r="I126" s="73">
        <v>1700000</v>
      </c>
      <c r="J126" s="161">
        <v>1731000</v>
      </c>
      <c r="K126" s="83">
        <f>'PPE Schedule'!L9</f>
        <v>1714365.5992118227</v>
      </c>
      <c r="L126" s="83">
        <f>'PPE Schedule'!M9</f>
        <v>1584857.4120246815</v>
      </c>
      <c r="M126" s="83">
        <f>'PPE Schedule'!N9</f>
        <v>1332774.4989475792</v>
      </c>
      <c r="N126" s="83">
        <f>'PPE Schedule'!O9</f>
        <v>1527178.3058260456</v>
      </c>
      <c r="O126" s="83">
        <f>'PPE Schedule'!P9</f>
        <v>1583331.5907596783</v>
      </c>
      <c r="P126" s="83">
        <f>'PPE Schedule'!Q9</f>
        <v>1633878.1574388926</v>
      </c>
      <c r="Q126" s="83">
        <f>'PPE Schedule'!R9</f>
        <v>1678552.2997480389</v>
      </c>
      <c r="R126" s="83">
        <f>'PPE Schedule'!S9</f>
        <v>1718323.5944321831</v>
      </c>
      <c r="S126" s="83">
        <f>'PPE Schedule'!T9</f>
        <v>1753918.0252803164</v>
      </c>
      <c r="T126" s="83">
        <f>'PPE Schedule'!U9</f>
        <v>1787525.0067512305</v>
      </c>
    </row>
    <row r="127" spans="1:20" s="7" customFormat="1" x14ac:dyDescent="0.2">
      <c r="A127" s="5"/>
      <c r="B127" s="15" t="s">
        <v>211</v>
      </c>
      <c r="C127" s="73">
        <f>C164+C166+C167+C168+C169</f>
        <v>30711000</v>
      </c>
      <c r="D127" s="73">
        <f>D164+D166+D167+D168+D169</f>
        <v>45624000</v>
      </c>
      <c r="E127" s="73">
        <f>E164+E166+E167+E168+E169</f>
        <v>46577000</v>
      </c>
      <c r="F127" s="73">
        <f>78624000-SUM(F119:F126)</f>
        <v>16350000</v>
      </c>
      <c r="G127" s="73">
        <f>82166000-SUM(G119:G126)</f>
        <v>17345000</v>
      </c>
      <c r="H127" s="73">
        <f>78725000-SUM(H119:H126)</f>
        <v>16092000</v>
      </c>
      <c r="I127" s="73">
        <f>80173000-SUM(I119:I126)</f>
        <v>16211000</v>
      </c>
      <c r="J127" s="161">
        <f>82737000-SUM(J119:J126)</f>
        <v>18660000</v>
      </c>
      <c r="K127" s="6">
        <f>J127</f>
        <v>18660000</v>
      </c>
      <c r="L127" s="6">
        <f t="shared" ref="L127:T127" si="144">K127</f>
        <v>18660000</v>
      </c>
      <c r="M127" s="6">
        <f t="shared" si="144"/>
        <v>18660000</v>
      </c>
      <c r="N127" s="6">
        <f t="shared" si="144"/>
        <v>18660000</v>
      </c>
      <c r="O127" s="6">
        <f t="shared" si="144"/>
        <v>18660000</v>
      </c>
      <c r="P127" s="6">
        <f t="shared" si="144"/>
        <v>18660000</v>
      </c>
      <c r="Q127" s="6">
        <f t="shared" si="144"/>
        <v>18660000</v>
      </c>
      <c r="R127" s="6">
        <f t="shared" si="144"/>
        <v>18660000</v>
      </c>
      <c r="S127" s="6">
        <f t="shared" si="144"/>
        <v>18660000</v>
      </c>
      <c r="T127" s="6">
        <f t="shared" si="144"/>
        <v>18660000</v>
      </c>
    </row>
    <row r="128" spans="1:20" s="7" customFormat="1" x14ac:dyDescent="0.2">
      <c r="A128" s="5"/>
      <c r="B128" s="12"/>
      <c r="C128" s="8"/>
      <c r="D128" s="8"/>
      <c r="E128" s="8"/>
      <c r="F128" s="8"/>
      <c r="G128" s="8"/>
      <c r="H128" s="8"/>
      <c r="I128" s="8"/>
      <c r="J128" s="161"/>
      <c r="K128" s="8"/>
      <c r="L128" s="8"/>
      <c r="M128" s="8"/>
      <c r="N128" s="8"/>
      <c r="O128" s="8"/>
      <c r="P128" s="8"/>
      <c r="Q128" s="8"/>
      <c r="R128" s="8"/>
    </row>
    <row r="129" spans="1:20" s="7" customFormat="1" ht="13.5" thickBot="1" x14ac:dyDescent="0.25">
      <c r="A129" s="5"/>
      <c r="B129" s="18" t="s">
        <v>13</v>
      </c>
      <c r="C129" s="19" t="e">
        <f>+C126+#REF!+C121+C119+C127</f>
        <v>#REF!</v>
      </c>
      <c r="D129" s="19" t="e">
        <f>+D126+#REF!+D121+D119+D127</f>
        <v>#REF!</v>
      </c>
      <c r="E129" s="19" t="e">
        <f>+E126+#REF!+E121+E119+E127</f>
        <v>#REF!</v>
      </c>
      <c r="F129" s="19">
        <f t="shared" ref="F129:T129" si="145">SUM(F119:F127)</f>
        <v>78624000</v>
      </c>
      <c r="G129" s="19">
        <f t="shared" si="145"/>
        <v>82166000</v>
      </c>
      <c r="H129" s="19">
        <f t="shared" si="145"/>
        <v>78725000</v>
      </c>
      <c r="I129" s="19">
        <f t="shared" si="145"/>
        <v>80173000</v>
      </c>
      <c r="J129" s="167">
        <f t="shared" si="145"/>
        <v>82737000</v>
      </c>
      <c r="K129" s="19">
        <f t="shared" si="145"/>
        <v>86916994.859923735</v>
      </c>
      <c r="L129" s="19">
        <f t="shared" si="145"/>
        <v>92570293.616567165</v>
      </c>
      <c r="M129" s="19">
        <f t="shared" si="145"/>
        <v>98150897.742486238</v>
      </c>
      <c r="N129" s="19">
        <f t="shared" si="145"/>
        <v>103726639.14204445</v>
      </c>
      <c r="O129" s="19">
        <f t="shared" si="145"/>
        <v>109264528.4665307</v>
      </c>
      <c r="P129" s="19">
        <f t="shared" si="145"/>
        <v>114731826.91883163</v>
      </c>
      <c r="Q129" s="19">
        <f t="shared" si="145"/>
        <v>120096606.28963494</v>
      </c>
      <c r="R129" s="19">
        <f t="shared" si="145"/>
        <v>125451484.5288419</v>
      </c>
      <c r="S129" s="19">
        <f t="shared" si="145"/>
        <v>130781053.50889654</v>
      </c>
      <c r="T129" s="19">
        <f t="shared" si="145"/>
        <v>136213344.27053863</v>
      </c>
    </row>
    <row r="130" spans="1:20" ht="13.5" thickTop="1" x14ac:dyDescent="0.2">
      <c r="B130" s="11"/>
      <c r="J130" s="161"/>
    </row>
    <row r="131" spans="1:20" x14ac:dyDescent="0.2">
      <c r="B131" s="20" t="s">
        <v>212</v>
      </c>
      <c r="J131" s="161"/>
    </row>
    <row r="132" spans="1:20" s="7" customFormat="1" x14ac:dyDescent="0.2">
      <c r="A132" s="5"/>
      <c r="B132" s="15" t="s">
        <v>10</v>
      </c>
      <c r="C132" s="73">
        <f t="shared" ref="C132:H132" si="146">C177</f>
        <v>232000</v>
      </c>
      <c r="D132" s="73">
        <f t="shared" si="146"/>
        <v>252000</v>
      </c>
      <c r="E132" s="73">
        <f t="shared" si="146"/>
        <v>197000</v>
      </c>
      <c r="F132" s="73">
        <f t="shared" si="146"/>
        <v>126000</v>
      </c>
      <c r="G132" s="73">
        <f t="shared" si="146"/>
        <v>139000</v>
      </c>
      <c r="H132" s="73">
        <f t="shared" si="146"/>
        <v>227000</v>
      </c>
      <c r="I132" s="73">
        <v>240000</v>
      </c>
      <c r="J132" s="161">
        <v>208000</v>
      </c>
      <c r="K132" s="6">
        <f t="shared" ref="K132:T132" si="147">K150/365*-K56</f>
        <v>277463.0702717409</v>
      </c>
      <c r="L132" s="6">
        <f t="shared" si="147"/>
        <v>290939.77653487131</v>
      </c>
      <c r="M132" s="6">
        <f t="shared" si="147"/>
        <v>302982.27303978748</v>
      </c>
      <c r="N132" s="6">
        <f t="shared" si="147"/>
        <v>314104.64629401319</v>
      </c>
      <c r="O132" s="6">
        <f t="shared" si="147"/>
        <v>324176.54454471718</v>
      </c>
      <c r="P132" s="6">
        <f t="shared" si="147"/>
        <v>333078.76614175609</v>
      </c>
      <c r="Q132" s="6">
        <f t="shared" si="147"/>
        <v>340705.80311666033</v>
      </c>
      <c r="R132" s="6">
        <f t="shared" si="147"/>
        <v>347709.05774968985</v>
      </c>
      <c r="S132" s="6">
        <f t="shared" si="147"/>
        <v>354042.00106620492</v>
      </c>
      <c r="T132" s="6">
        <f t="shared" si="147"/>
        <v>360524.286575426</v>
      </c>
    </row>
    <row r="133" spans="1:20" x14ac:dyDescent="0.2">
      <c r="B133" s="15" t="s">
        <v>213</v>
      </c>
      <c r="F133" s="73">
        <v>40014000</v>
      </c>
      <c r="G133" s="73">
        <v>41935000</v>
      </c>
      <c r="H133" s="73">
        <v>39671000</v>
      </c>
      <c r="I133" s="73">
        <v>40198000</v>
      </c>
      <c r="J133" s="161">
        <v>41743000</v>
      </c>
      <c r="K133" s="6">
        <f t="shared" ref="K133:T133" si="148">K152*K55</f>
        <v>42440869.47786697</v>
      </c>
      <c r="L133" s="6">
        <f t="shared" si="148"/>
        <v>44502272.211372748</v>
      </c>
      <c r="M133" s="6">
        <f t="shared" si="148"/>
        <v>46344297.609031126</v>
      </c>
      <c r="N133" s="6">
        <f t="shared" si="148"/>
        <v>48045580.562126115</v>
      </c>
      <c r="O133" s="6">
        <f t="shared" si="148"/>
        <v>49586182.410991415</v>
      </c>
      <c r="P133" s="6">
        <f t="shared" si="148"/>
        <v>50947870.020419754</v>
      </c>
      <c r="Q133" s="6">
        <f t="shared" si="148"/>
        <v>52114504.846588708</v>
      </c>
      <c r="R133" s="6">
        <f t="shared" si="148"/>
        <v>53185725.659901187</v>
      </c>
      <c r="S133" s="6">
        <f t="shared" si="148"/>
        <v>54154415.368566617</v>
      </c>
      <c r="T133" s="6">
        <f t="shared" si="148"/>
        <v>55145948.522674948</v>
      </c>
    </row>
    <row r="134" spans="1:20" x14ac:dyDescent="0.2">
      <c r="B134" s="15" t="s">
        <v>214</v>
      </c>
      <c r="F134" s="73">
        <v>10417000</v>
      </c>
      <c r="G134" s="73">
        <v>9676000</v>
      </c>
      <c r="H134" s="73">
        <v>9879000</v>
      </c>
      <c r="I134" s="73">
        <v>9987000</v>
      </c>
      <c r="J134" s="161">
        <f>2505000+10895000</f>
        <v>13400000</v>
      </c>
      <c r="K134" s="6">
        <f>J134</f>
        <v>13400000</v>
      </c>
      <c r="L134" s="6">
        <f t="shared" ref="L134:T134" si="149">K134</f>
        <v>13400000</v>
      </c>
      <c r="M134" s="6">
        <f t="shared" si="149"/>
        <v>13400000</v>
      </c>
      <c r="N134" s="6">
        <f t="shared" si="149"/>
        <v>13400000</v>
      </c>
      <c r="O134" s="6">
        <f t="shared" si="149"/>
        <v>13400000</v>
      </c>
      <c r="P134" s="6">
        <f t="shared" si="149"/>
        <v>13400000</v>
      </c>
      <c r="Q134" s="6">
        <f t="shared" si="149"/>
        <v>13400000</v>
      </c>
      <c r="R134" s="6">
        <f t="shared" si="149"/>
        <v>13400000</v>
      </c>
      <c r="S134" s="6">
        <f t="shared" si="149"/>
        <v>13400000</v>
      </c>
      <c r="T134" s="6">
        <f t="shared" si="149"/>
        <v>13400000</v>
      </c>
    </row>
    <row r="135" spans="1:20" x14ac:dyDescent="0.2">
      <c r="B135" s="15" t="s">
        <v>215</v>
      </c>
      <c r="F135" s="73">
        <f>58350000-SUM(F132:F134)</f>
        <v>7793000</v>
      </c>
      <c r="G135" s="73">
        <f>61115000-SUM(G132:G134)</f>
        <v>9365000</v>
      </c>
      <c r="H135" s="73">
        <f>58308000-SUM(H132:H134)</f>
        <v>8531000</v>
      </c>
      <c r="I135" s="73">
        <f>59917000-SUM(I132:I134)</f>
        <v>9492000</v>
      </c>
      <c r="J135" s="161">
        <f>62917000-SUM(J132:J134)</f>
        <v>7566000</v>
      </c>
      <c r="K135" s="6">
        <f t="shared" ref="K135:T135" si="150">J135+K88</f>
        <v>6165086.0019704429</v>
      </c>
      <c r="L135" s="6">
        <f t="shared" si="150"/>
        <v>4696127.9704309069</v>
      </c>
      <c r="M135" s="6">
        <f t="shared" si="150"/>
        <v>3166367.2457313892</v>
      </c>
      <c r="N135" s="6">
        <f t="shared" si="150"/>
        <v>1580449.5399680699</v>
      </c>
      <c r="O135" s="6">
        <f t="shared" si="150"/>
        <v>-56321.287373994244</v>
      </c>
      <c r="P135" s="6">
        <f t="shared" si="150"/>
        <v>-1738039.5264081394</v>
      </c>
      <c r="Q135" s="6">
        <f t="shared" si="150"/>
        <v>-3458266.7563907662</v>
      </c>
      <c r="R135" s="6">
        <f t="shared" si="150"/>
        <v>-5213853.4936316665</v>
      </c>
      <c r="S135" s="6">
        <f t="shared" si="150"/>
        <v>-7001415.3291519331</v>
      </c>
      <c r="T135" s="6">
        <f t="shared" si="150"/>
        <v>-8821706.2932737041</v>
      </c>
    </row>
    <row r="136" spans="1:20" x14ac:dyDescent="0.2">
      <c r="B136" s="16" t="s">
        <v>191</v>
      </c>
      <c r="C136" s="14"/>
      <c r="D136" s="14"/>
      <c r="E136" s="14"/>
      <c r="F136" s="14">
        <f>SUM(F132:F135)</f>
        <v>58350000</v>
      </c>
      <c r="G136" s="14">
        <f t="shared" ref="G136:H136" si="151">SUM(G132:G135)</f>
        <v>61115000</v>
      </c>
      <c r="H136" s="14">
        <f t="shared" si="151"/>
        <v>58308000</v>
      </c>
      <c r="I136" s="14">
        <f>SUM(I132:I135)</f>
        <v>59917000</v>
      </c>
      <c r="J136" s="162">
        <f>SUM(J132:J135)</f>
        <v>62917000</v>
      </c>
      <c r="K136" s="14">
        <f>SUM(K132:K135)</f>
        <v>62283418.550109148</v>
      </c>
      <c r="L136" s="14">
        <f t="shared" ref="L136:T136" si="152">SUM(L132:L135)</f>
        <v>62889339.958338529</v>
      </c>
      <c r="M136" s="14">
        <f t="shared" si="152"/>
        <v>63213647.127802305</v>
      </c>
      <c r="N136" s="14">
        <f t="shared" si="152"/>
        <v>63340134.748388201</v>
      </c>
      <c r="O136" s="14">
        <f t="shared" si="152"/>
        <v>63254037.668162137</v>
      </c>
      <c r="P136" s="14">
        <f t="shared" si="152"/>
        <v>62942909.260153376</v>
      </c>
      <c r="Q136" s="14">
        <f t="shared" si="152"/>
        <v>62396943.8933146</v>
      </c>
      <c r="R136" s="14">
        <f t="shared" si="152"/>
        <v>61719581.224019207</v>
      </c>
      <c r="S136" s="14">
        <f t="shared" si="152"/>
        <v>60907042.040480889</v>
      </c>
      <c r="T136" s="14">
        <f t="shared" si="152"/>
        <v>60084766.515976682</v>
      </c>
    </row>
    <row r="137" spans="1:20" x14ac:dyDescent="0.2">
      <c r="B137" s="11"/>
      <c r="J137" s="161"/>
    </row>
    <row r="138" spans="1:20" s="7" customFormat="1" x14ac:dyDescent="0.2">
      <c r="A138" s="5"/>
      <c r="B138" s="16" t="s">
        <v>82</v>
      </c>
      <c r="C138" s="14">
        <f t="shared" ref="C138:H138" si="153">SUM(C139:C140)</f>
        <v>16929000</v>
      </c>
      <c r="D138" s="14">
        <f t="shared" si="153"/>
        <v>20063000</v>
      </c>
      <c r="E138" s="14">
        <f t="shared" si="153"/>
        <v>21727000</v>
      </c>
      <c r="F138" s="14">
        <f>SUM(F139:F140)</f>
        <v>20274000</v>
      </c>
      <c r="G138" s="14">
        <f t="shared" si="153"/>
        <v>21051000</v>
      </c>
      <c r="H138" s="14">
        <f t="shared" si="153"/>
        <v>20417000</v>
      </c>
      <c r="I138" s="14">
        <f t="shared" ref="I138:S138" si="154">SUM(I139:I140)</f>
        <v>20256000</v>
      </c>
      <c r="J138" s="164">
        <f t="shared" si="154"/>
        <v>19820000</v>
      </c>
      <c r="K138" s="14">
        <f t="shared" si="154"/>
        <v>24633576.309814572</v>
      </c>
      <c r="L138" s="14">
        <f t="shared" si="154"/>
        <v>29680953.658228636</v>
      </c>
      <c r="M138" s="14">
        <f t="shared" si="154"/>
        <v>34937250.614683934</v>
      </c>
      <c r="N138" s="14">
        <f t="shared" si="154"/>
        <v>40386504.393656269</v>
      </c>
      <c r="O138" s="14">
        <f t="shared" si="154"/>
        <v>46010490.798368558</v>
      </c>
      <c r="P138" s="14">
        <f t="shared" si="154"/>
        <v>51788917.658678263</v>
      </c>
      <c r="Q138" s="14">
        <f t="shared" si="154"/>
        <v>57699662.396320343</v>
      </c>
      <c r="R138" s="14">
        <f t="shared" si="154"/>
        <v>63731903.304822683</v>
      </c>
      <c r="S138" s="14">
        <f t="shared" si="154"/>
        <v>69874011.468415663</v>
      </c>
      <c r="T138" s="14">
        <f t="shared" ref="T138" si="155">SUM(T139:T140)</f>
        <v>76128577.754561961</v>
      </c>
    </row>
    <row r="139" spans="1:20" x14ac:dyDescent="0.2">
      <c r="B139" s="46" t="s">
        <v>190</v>
      </c>
      <c r="C139" s="73">
        <f t="shared" ref="C139:H139" si="156">C190-C188+C191</f>
        <v>8587000</v>
      </c>
      <c r="D139" s="73">
        <f t="shared" si="156"/>
        <v>7697000</v>
      </c>
      <c r="E139" s="73">
        <f t="shared" si="156"/>
        <v>5192000</v>
      </c>
      <c r="F139" s="73">
        <f t="shared" si="156"/>
        <v>1320000</v>
      </c>
      <c r="G139" s="73">
        <f t="shared" si="156"/>
        <v>-2149000</v>
      </c>
      <c r="H139" s="73">
        <f t="shared" si="156"/>
        <v>-6930000</v>
      </c>
      <c r="I139" s="73">
        <f>20256000-I140</f>
        <v>-12214000</v>
      </c>
      <c r="J139" s="161">
        <f>19820000-J140</f>
        <v>-14612000</v>
      </c>
      <c r="K139" s="6">
        <f>J139</f>
        <v>-14612000</v>
      </c>
      <c r="L139" s="6">
        <f t="shared" ref="L139:T139" si="157">K139</f>
        <v>-14612000</v>
      </c>
      <c r="M139" s="6">
        <f t="shared" si="157"/>
        <v>-14612000</v>
      </c>
      <c r="N139" s="6">
        <f t="shared" si="157"/>
        <v>-14612000</v>
      </c>
      <c r="O139" s="6">
        <f t="shared" si="157"/>
        <v>-14612000</v>
      </c>
      <c r="P139" s="6">
        <f t="shared" si="157"/>
        <v>-14612000</v>
      </c>
      <c r="Q139" s="6">
        <f t="shared" si="157"/>
        <v>-14612000</v>
      </c>
      <c r="R139" s="6">
        <f t="shared" si="157"/>
        <v>-14612000</v>
      </c>
      <c r="S139" s="6">
        <f t="shared" si="157"/>
        <v>-14612000</v>
      </c>
      <c r="T139" s="6">
        <f t="shared" si="157"/>
        <v>-14612000</v>
      </c>
    </row>
    <row r="140" spans="1:20" x14ac:dyDescent="0.2">
      <c r="B140" s="46" t="s">
        <v>11</v>
      </c>
      <c r="C140" s="73">
        <f t="shared" ref="C140:H140" si="158">C188</f>
        <v>8342000</v>
      </c>
      <c r="D140" s="73">
        <f t="shared" si="158"/>
        <v>12366000</v>
      </c>
      <c r="E140" s="73">
        <f t="shared" si="158"/>
        <v>16535000</v>
      </c>
      <c r="F140" s="73">
        <f t="shared" si="158"/>
        <v>18954000</v>
      </c>
      <c r="G140" s="73">
        <f t="shared" si="158"/>
        <v>23200000</v>
      </c>
      <c r="H140" s="73">
        <f t="shared" si="158"/>
        <v>27347000</v>
      </c>
      <c r="I140" s="73">
        <v>32470000</v>
      </c>
      <c r="J140" s="161">
        <v>34432000</v>
      </c>
      <c r="K140" s="6">
        <f t="shared" ref="K140:T140" si="159">J140+K79</f>
        <v>39245576.309814572</v>
      </c>
      <c r="L140" s="6">
        <f t="shared" si="159"/>
        <v>44292953.658228636</v>
      </c>
      <c r="M140" s="6">
        <f t="shared" si="159"/>
        <v>49549250.614683934</v>
      </c>
      <c r="N140" s="6">
        <f t="shared" si="159"/>
        <v>54998504.393656269</v>
      </c>
      <c r="O140" s="6">
        <f t="shared" si="159"/>
        <v>60622490.798368558</v>
      </c>
      <c r="P140" s="6">
        <f t="shared" si="159"/>
        <v>66400917.658678263</v>
      </c>
      <c r="Q140" s="6">
        <f t="shared" si="159"/>
        <v>72311662.396320343</v>
      </c>
      <c r="R140" s="6">
        <f t="shared" si="159"/>
        <v>78343903.304822683</v>
      </c>
      <c r="S140" s="6">
        <f t="shared" si="159"/>
        <v>84486011.468415663</v>
      </c>
      <c r="T140" s="6">
        <f t="shared" si="159"/>
        <v>90740577.754561961</v>
      </c>
    </row>
    <row r="141" spans="1:20" x14ac:dyDescent="0.2">
      <c r="B141" s="46"/>
      <c r="C141" s="73"/>
      <c r="D141" s="73"/>
      <c r="E141" s="73"/>
      <c r="F141" s="73"/>
      <c r="G141" s="73"/>
      <c r="H141" s="73"/>
      <c r="I141" s="73"/>
      <c r="J141" s="161"/>
    </row>
    <row r="142" spans="1:20" ht="13.5" thickBot="1" x14ac:dyDescent="0.25">
      <c r="B142" s="21" t="s">
        <v>86</v>
      </c>
      <c r="C142" s="19" t="e">
        <f>#REF!+C138</f>
        <v>#REF!</v>
      </c>
      <c r="D142" s="19" t="e">
        <f>#REF!+D138</f>
        <v>#REF!</v>
      </c>
      <c r="E142" s="19" t="e">
        <f>#REF!+E138</f>
        <v>#REF!</v>
      </c>
      <c r="F142" s="19">
        <f>F136+F138</f>
        <v>78624000</v>
      </c>
      <c r="G142" s="19">
        <f t="shared" ref="G142" si="160">G136+G138</f>
        <v>82166000</v>
      </c>
      <c r="H142" s="19">
        <f t="shared" ref="H142:S142" si="161">H136+H138</f>
        <v>78725000</v>
      </c>
      <c r="I142" s="19">
        <f t="shared" si="161"/>
        <v>80173000</v>
      </c>
      <c r="J142" s="166">
        <f t="shared" si="161"/>
        <v>82737000</v>
      </c>
      <c r="K142" s="19">
        <f t="shared" si="161"/>
        <v>86916994.85992372</v>
      </c>
      <c r="L142" s="19">
        <f t="shared" si="161"/>
        <v>92570293.616567165</v>
      </c>
      <c r="M142" s="19">
        <f t="shared" si="161"/>
        <v>98150897.742486238</v>
      </c>
      <c r="N142" s="19">
        <f t="shared" si="161"/>
        <v>103726639.14204447</v>
      </c>
      <c r="O142" s="19">
        <f t="shared" si="161"/>
        <v>109264528.4665307</v>
      </c>
      <c r="P142" s="19">
        <f t="shared" si="161"/>
        <v>114731826.91883165</v>
      </c>
      <c r="Q142" s="19">
        <f t="shared" si="161"/>
        <v>120096606.28963494</v>
      </c>
      <c r="R142" s="19">
        <f t="shared" si="161"/>
        <v>125451484.52884188</v>
      </c>
      <c r="S142" s="19">
        <f t="shared" si="161"/>
        <v>130781053.50889656</v>
      </c>
      <c r="T142" s="19">
        <f t="shared" ref="T142" si="162">T136+T138</f>
        <v>136213344.27053863</v>
      </c>
    </row>
    <row r="143" spans="1:20" s="24" customFormat="1" ht="13.5" thickTop="1" x14ac:dyDescent="0.2">
      <c r="A143" s="22"/>
      <c r="B143" s="23" t="s">
        <v>15</v>
      </c>
      <c r="C143" s="24" t="e">
        <f t="shared" ref="C143:I143" si="163">+C129-C142</f>
        <v>#REF!</v>
      </c>
      <c r="D143" s="24" t="e">
        <f t="shared" si="163"/>
        <v>#REF!</v>
      </c>
      <c r="E143" s="24" t="e">
        <f t="shared" si="163"/>
        <v>#REF!</v>
      </c>
      <c r="F143" s="24">
        <f t="shared" si="163"/>
        <v>0</v>
      </c>
      <c r="G143" s="24">
        <f t="shared" si="163"/>
        <v>0</v>
      </c>
      <c r="H143" s="24">
        <f t="shared" si="163"/>
        <v>0</v>
      </c>
      <c r="I143" s="24">
        <f t="shared" si="163"/>
        <v>0</v>
      </c>
      <c r="J143" s="24">
        <f t="shared" ref="J143:T143" si="164">+J129-J142</f>
        <v>0</v>
      </c>
      <c r="K143" s="24">
        <f t="shared" si="164"/>
        <v>0</v>
      </c>
      <c r="L143" s="24">
        <f t="shared" si="164"/>
        <v>0</v>
      </c>
      <c r="M143" s="24">
        <f t="shared" si="164"/>
        <v>0</v>
      </c>
      <c r="N143" s="24">
        <f t="shared" si="164"/>
        <v>0</v>
      </c>
      <c r="O143" s="24">
        <f t="shared" si="164"/>
        <v>0</v>
      </c>
      <c r="P143" s="24">
        <f t="shared" si="164"/>
        <v>0</v>
      </c>
      <c r="Q143" s="24">
        <f t="shared" si="164"/>
        <v>0</v>
      </c>
      <c r="R143" s="24">
        <f t="shared" si="164"/>
        <v>0</v>
      </c>
      <c r="S143" s="24">
        <f t="shared" si="164"/>
        <v>0</v>
      </c>
      <c r="T143" s="24">
        <f t="shared" si="164"/>
        <v>0</v>
      </c>
    </row>
    <row r="144" spans="1:20" x14ac:dyDescent="0.2">
      <c r="B144" s="11"/>
    </row>
    <row r="145" spans="1:20" x14ac:dyDescent="0.2">
      <c r="B145" s="11"/>
      <c r="C145" s="11"/>
      <c r="D145" s="11"/>
      <c r="E145" s="11"/>
      <c r="F145" s="11"/>
      <c r="G145" s="11"/>
      <c r="H145" s="11"/>
      <c r="I145" s="11"/>
      <c r="J145" s="11"/>
    </row>
    <row r="146" spans="1:20" x14ac:dyDescent="0.2">
      <c r="B146" s="12"/>
      <c r="C146" s="8"/>
      <c r="D146" s="8"/>
      <c r="E146" s="8"/>
      <c r="F146" s="8"/>
      <c r="G146" s="8"/>
      <c r="H146" s="8"/>
    </row>
    <row r="147" spans="1:20" x14ac:dyDescent="0.2">
      <c r="B147" s="119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</row>
    <row r="148" spans="1:20" x14ac:dyDescent="0.2">
      <c r="B148" s="120"/>
      <c r="C148" s="121">
        <f>+C116</f>
        <v>0</v>
      </c>
      <c r="D148" s="121">
        <f>+D116</f>
        <v>0</v>
      </c>
      <c r="E148" s="121">
        <f>+E116</f>
        <v>0</v>
      </c>
      <c r="F148" s="121"/>
      <c r="G148" s="121"/>
      <c r="H148" s="121"/>
      <c r="I148" s="121"/>
      <c r="J148" s="121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</row>
    <row r="149" spans="1:20" x14ac:dyDescent="0.2">
      <c r="B149" s="82" t="s">
        <v>268</v>
      </c>
      <c r="C149" s="82">
        <v>0</v>
      </c>
      <c r="D149" s="82">
        <v>0</v>
      </c>
      <c r="E149" s="82">
        <v>0</v>
      </c>
      <c r="F149" s="80">
        <f>F121/F55*365</f>
        <v>12.773275674104221</v>
      </c>
      <c r="G149" s="80">
        <f>G121/G55*365</f>
        <v>13.106210741997247</v>
      </c>
      <c r="H149" s="80">
        <f>H121/H55*365</f>
        <v>11.295405226908199</v>
      </c>
      <c r="I149" s="80">
        <f>I121/I55*365</f>
        <v>9.2427348366091895</v>
      </c>
      <c r="J149" s="160"/>
      <c r="K149" s="154">
        <v>11</v>
      </c>
      <c r="L149" s="6">
        <f>K149</f>
        <v>11</v>
      </c>
      <c r="M149" s="6">
        <f t="shared" ref="M149:T149" si="165">L149</f>
        <v>11</v>
      </c>
      <c r="N149" s="6">
        <f t="shared" si="165"/>
        <v>11</v>
      </c>
      <c r="O149" s="6">
        <f t="shared" si="165"/>
        <v>11</v>
      </c>
      <c r="P149" s="6">
        <f t="shared" si="165"/>
        <v>11</v>
      </c>
      <c r="Q149" s="6">
        <f t="shared" si="165"/>
        <v>11</v>
      </c>
      <c r="R149" s="6">
        <f t="shared" si="165"/>
        <v>11</v>
      </c>
      <c r="S149" s="6">
        <f t="shared" si="165"/>
        <v>11</v>
      </c>
      <c r="T149" s="6">
        <f t="shared" si="165"/>
        <v>11</v>
      </c>
    </row>
    <row r="150" spans="1:20" x14ac:dyDescent="0.2">
      <c r="B150" s="82" t="s">
        <v>269</v>
      </c>
      <c r="C150" s="82">
        <v>0</v>
      </c>
      <c r="D150" s="82">
        <v>0</v>
      </c>
      <c r="E150" s="82">
        <v>0</v>
      </c>
      <c r="F150" s="80">
        <f>F132/F56*-365</f>
        <v>3.7780333525014376</v>
      </c>
      <c r="G150" s="80">
        <f>G132/G56*-365</f>
        <v>3.5269377824122348</v>
      </c>
      <c r="H150" s="80">
        <f>H132/H56*-365</f>
        <v>5.2783971459514554</v>
      </c>
      <c r="I150" s="80">
        <f>I132/I56*-365</f>
        <v>5.4794520547945202</v>
      </c>
      <c r="J150" s="160"/>
      <c r="K150" s="154">
        <v>6</v>
      </c>
      <c r="L150" s="6">
        <f>K150</f>
        <v>6</v>
      </c>
      <c r="M150" s="6">
        <f t="shared" ref="M150:T152" si="166">L150</f>
        <v>6</v>
      </c>
      <c r="N150" s="6">
        <f t="shared" si="166"/>
        <v>6</v>
      </c>
      <c r="O150" s="6">
        <f t="shared" si="166"/>
        <v>6</v>
      </c>
      <c r="P150" s="6">
        <f t="shared" si="166"/>
        <v>6</v>
      </c>
      <c r="Q150" s="6">
        <f t="shared" si="166"/>
        <v>6</v>
      </c>
      <c r="R150" s="6">
        <f t="shared" si="166"/>
        <v>6</v>
      </c>
      <c r="S150" s="6">
        <f t="shared" si="166"/>
        <v>6</v>
      </c>
      <c r="T150" s="6">
        <f t="shared" si="166"/>
        <v>6</v>
      </c>
    </row>
    <row r="151" spans="1:20" s="7" customFormat="1" x14ac:dyDescent="0.2">
      <c r="A151" s="5"/>
      <c r="B151" s="82" t="s">
        <v>442</v>
      </c>
      <c r="C151" s="8"/>
      <c r="D151" s="8"/>
      <c r="E151" s="8"/>
      <c r="F151" s="132">
        <f>F124/F$55</f>
        <v>1.3178283305472782</v>
      </c>
      <c r="G151" s="132">
        <f t="shared" ref="G151:I151" si="167">G124/G$55</f>
        <v>1.3078163313291458</v>
      </c>
      <c r="H151" s="132">
        <f t="shared" si="167"/>
        <v>1.1847344089065006</v>
      </c>
      <c r="I151" s="132">
        <f t="shared" si="167"/>
        <v>1.1515133244905342</v>
      </c>
      <c r="J151" s="8"/>
      <c r="K151" s="184">
        <f>I151</f>
        <v>1.1515133244905342</v>
      </c>
      <c r="L151" s="72">
        <f>K151</f>
        <v>1.1515133244905342</v>
      </c>
      <c r="M151" s="72">
        <f t="shared" si="166"/>
        <v>1.1515133244905342</v>
      </c>
      <c r="N151" s="72">
        <f t="shared" si="166"/>
        <v>1.1515133244905342</v>
      </c>
      <c r="O151" s="72">
        <f t="shared" si="166"/>
        <v>1.1515133244905342</v>
      </c>
      <c r="P151" s="72">
        <f t="shared" si="166"/>
        <v>1.1515133244905342</v>
      </c>
      <c r="Q151" s="72">
        <f t="shared" si="166"/>
        <v>1.1515133244905342</v>
      </c>
      <c r="R151" s="72">
        <f t="shared" si="166"/>
        <v>1.1515133244905342</v>
      </c>
      <c r="S151" s="72">
        <f t="shared" si="166"/>
        <v>1.1515133244905342</v>
      </c>
      <c r="T151" s="72">
        <f t="shared" si="166"/>
        <v>1.1515133244905342</v>
      </c>
    </row>
    <row r="152" spans="1:20" s="7" customFormat="1" x14ac:dyDescent="0.2">
      <c r="A152" s="5"/>
      <c r="B152" s="82" t="s">
        <v>443</v>
      </c>
      <c r="C152" s="8"/>
      <c r="D152" s="8"/>
      <c r="E152" s="8"/>
      <c r="F152" s="132">
        <f>F133/F$55</f>
        <v>1.4541027690965913</v>
      </c>
      <c r="G152" s="132">
        <f t="shared" ref="G152:I152" si="168">G133/G$55</f>
        <v>1.408585536260119</v>
      </c>
      <c r="H152" s="132">
        <f t="shared" si="168"/>
        <v>1.2476334245369061</v>
      </c>
      <c r="I152" s="132">
        <f t="shared" si="168"/>
        <v>1.2118051368624141</v>
      </c>
      <c r="J152" s="8"/>
      <c r="K152" s="184">
        <f>I152</f>
        <v>1.2118051368624141</v>
      </c>
      <c r="L152" s="72">
        <f>K152</f>
        <v>1.2118051368624141</v>
      </c>
      <c r="M152" s="72">
        <f t="shared" si="166"/>
        <v>1.2118051368624141</v>
      </c>
      <c r="N152" s="72">
        <f t="shared" si="166"/>
        <v>1.2118051368624141</v>
      </c>
      <c r="O152" s="72">
        <f t="shared" si="166"/>
        <v>1.2118051368624141</v>
      </c>
      <c r="P152" s="72">
        <f t="shared" si="166"/>
        <v>1.2118051368624141</v>
      </c>
      <c r="Q152" s="72">
        <f t="shared" si="166"/>
        <v>1.2118051368624141</v>
      </c>
      <c r="R152" s="72">
        <f t="shared" si="166"/>
        <v>1.2118051368624141</v>
      </c>
      <c r="S152" s="72">
        <f t="shared" si="166"/>
        <v>1.2118051368624141</v>
      </c>
      <c r="T152" s="72">
        <f t="shared" si="166"/>
        <v>1.2118051368624141</v>
      </c>
    </row>
    <row r="153" spans="1:20" s="7" customFormat="1" x14ac:dyDescent="0.2">
      <c r="A153" s="5"/>
      <c r="B153" s="10"/>
      <c r="C153" s="8"/>
      <c r="D153" s="8"/>
      <c r="E153" s="8"/>
      <c r="F153" s="8"/>
      <c r="G153" s="8"/>
    </row>
    <row r="154" spans="1:20" s="7" customFormat="1" x14ac:dyDescent="0.2">
      <c r="A154" s="5"/>
      <c r="B154" s="10"/>
      <c r="C154" s="8"/>
      <c r="D154" s="8"/>
      <c r="E154" s="8"/>
      <c r="F154" s="8"/>
      <c r="G154" s="8"/>
    </row>
    <row r="155" spans="1:20" s="7" customFormat="1" x14ac:dyDescent="0.2">
      <c r="A155" s="5"/>
      <c r="B155" s="10"/>
      <c r="C155" s="8"/>
      <c r="D155" s="8"/>
      <c r="E155" s="8"/>
      <c r="F155" s="8"/>
      <c r="G155" s="8"/>
    </row>
    <row r="156" spans="1:20" s="7" customFormat="1" x14ac:dyDescent="0.2">
      <c r="A156" s="5"/>
      <c r="B156" s="10"/>
      <c r="C156" s="8"/>
      <c r="D156" s="8"/>
      <c r="E156" s="8"/>
      <c r="F156" s="8"/>
      <c r="G156" s="8"/>
    </row>
    <row r="157" spans="1:20" s="7" customFormat="1" hidden="1" x14ac:dyDescent="0.2">
      <c r="A157" s="5"/>
      <c r="B157" s="10"/>
      <c r="C157" s="8"/>
      <c r="D157" s="8"/>
      <c r="E157" s="8"/>
      <c r="F157" s="8"/>
      <c r="G157" s="8"/>
    </row>
    <row r="158" spans="1:20" s="7" customFormat="1" hidden="1" x14ac:dyDescent="0.2">
      <c r="A158" s="5"/>
      <c r="B158" s="10"/>
      <c r="C158" s="8"/>
      <c r="D158" s="8"/>
      <c r="E158" s="8"/>
      <c r="F158" s="8"/>
      <c r="G158" s="8"/>
    </row>
    <row r="159" spans="1:20" s="7" customFormat="1" hidden="1" x14ac:dyDescent="0.2">
      <c r="A159" s="5"/>
      <c r="B159" s="10"/>
      <c r="C159" s="8"/>
      <c r="D159" s="8"/>
      <c r="E159" s="8"/>
      <c r="F159" s="8"/>
      <c r="G159" s="8"/>
    </row>
    <row r="160" spans="1:20" s="7" customFormat="1" hidden="1" x14ac:dyDescent="0.2">
      <c r="A160" s="5"/>
      <c r="B160" s="10"/>
      <c r="C160" s="8"/>
      <c r="D160" s="8"/>
      <c r="E160" s="8"/>
      <c r="F160" s="8"/>
      <c r="G160" s="8"/>
    </row>
    <row r="161" spans="1:8" s="7" customFormat="1" hidden="1" x14ac:dyDescent="0.2">
      <c r="A161" s="5"/>
      <c r="B161" s="10"/>
      <c r="C161" s="8"/>
      <c r="D161" s="8"/>
      <c r="E161" s="8"/>
      <c r="F161" s="8"/>
      <c r="G161" s="8"/>
    </row>
    <row r="162" spans="1:8" ht="15" hidden="1" x14ac:dyDescent="0.25">
      <c r="B162"/>
      <c r="C162" s="56">
        <v>43830</v>
      </c>
      <c r="D162" s="56">
        <v>44196</v>
      </c>
      <c r="E162" s="56">
        <v>44561</v>
      </c>
      <c r="F162" s="56">
        <v>44926</v>
      </c>
      <c r="G162" s="56">
        <v>45291</v>
      </c>
      <c r="H162" s="56">
        <v>45657</v>
      </c>
    </row>
    <row r="163" spans="1:8" ht="15" hidden="1" x14ac:dyDescent="0.25">
      <c r="B163" s="45" t="s">
        <v>72</v>
      </c>
      <c r="C163">
        <v>7349000</v>
      </c>
      <c r="D163">
        <v>4794000</v>
      </c>
      <c r="E163">
        <v>5197000</v>
      </c>
      <c r="F163">
        <v>7776000</v>
      </c>
      <c r="G163">
        <v>9081000</v>
      </c>
      <c r="H163">
        <v>6561000</v>
      </c>
    </row>
    <row r="164" spans="1:8" ht="15" hidden="1" x14ac:dyDescent="0.25">
      <c r="B164" s="45" t="s">
        <v>73</v>
      </c>
      <c r="C164">
        <v>3412000</v>
      </c>
      <c r="D164">
        <v>8289000</v>
      </c>
      <c r="E164">
        <v>4303000</v>
      </c>
      <c r="F164">
        <v>3092000</v>
      </c>
      <c r="G164">
        <v>4979000</v>
      </c>
      <c r="H164">
        <v>4262000</v>
      </c>
    </row>
    <row r="165" spans="1:8" ht="15" hidden="1" x14ac:dyDescent="0.25">
      <c r="B165" s="45" t="s">
        <v>172</v>
      </c>
      <c r="C165">
        <v>435000</v>
      </c>
      <c r="D165">
        <v>577000</v>
      </c>
      <c r="E165">
        <v>800000</v>
      </c>
      <c r="F165">
        <v>963000</v>
      </c>
      <c r="G165">
        <v>1069000</v>
      </c>
      <c r="H165">
        <v>984000</v>
      </c>
    </row>
    <row r="166" spans="1:8" ht="15" hidden="1" x14ac:dyDescent="0.25">
      <c r="B166" s="45" t="s">
        <v>173</v>
      </c>
      <c r="C166"/>
      <c r="D166"/>
      <c r="E166"/>
      <c r="F166"/>
      <c r="G166">
        <v>563000</v>
      </c>
      <c r="H166">
        <v>541000</v>
      </c>
    </row>
    <row r="167" spans="1:8" ht="15" hidden="1" x14ac:dyDescent="0.25">
      <c r="B167" s="45" t="s">
        <v>174</v>
      </c>
      <c r="C167">
        <v>3972000</v>
      </c>
      <c r="D167">
        <v>2769000</v>
      </c>
      <c r="E167">
        <v>4846000</v>
      </c>
      <c r="F167">
        <v>7431000</v>
      </c>
      <c r="G167">
        <v>5433000</v>
      </c>
      <c r="H167">
        <v>6422000</v>
      </c>
    </row>
    <row r="168" spans="1:8" ht="15" hidden="1" x14ac:dyDescent="0.25">
      <c r="B168" s="45" t="s">
        <v>175</v>
      </c>
      <c r="C168">
        <v>22527000</v>
      </c>
      <c r="D168">
        <v>33418000</v>
      </c>
      <c r="E168">
        <v>36141000</v>
      </c>
      <c r="F168">
        <v>36357000</v>
      </c>
      <c r="G168">
        <v>38935000</v>
      </c>
      <c r="H168">
        <v>37671000</v>
      </c>
    </row>
    <row r="169" spans="1:8" ht="15" hidden="1" x14ac:dyDescent="0.25">
      <c r="B169" s="45" t="s">
        <v>176</v>
      </c>
      <c r="C169">
        <v>800000</v>
      </c>
      <c r="D169">
        <v>1148000</v>
      </c>
      <c r="E169">
        <v>1287000</v>
      </c>
      <c r="F169">
        <v>1898000</v>
      </c>
      <c r="G169">
        <v>2509000</v>
      </c>
      <c r="H169">
        <v>4651000</v>
      </c>
    </row>
    <row r="170" spans="1:8" ht="15" hidden="1" x14ac:dyDescent="0.25">
      <c r="B170" s="45" t="s">
        <v>74</v>
      </c>
      <c r="C170">
        <v>38495000</v>
      </c>
      <c r="D170">
        <v>50995000</v>
      </c>
      <c r="E170">
        <v>52574000</v>
      </c>
      <c r="F170">
        <v>57517000</v>
      </c>
      <c r="G170">
        <v>62569000</v>
      </c>
      <c r="H170">
        <v>61092000</v>
      </c>
    </row>
    <row r="171" spans="1:8" ht="15" hidden="1" x14ac:dyDescent="0.25">
      <c r="B171" s="45" t="s">
        <v>75</v>
      </c>
      <c r="C171">
        <v>2863000</v>
      </c>
      <c r="D171">
        <v>6089000</v>
      </c>
      <c r="E171">
        <v>6797000</v>
      </c>
      <c r="F171">
        <v>5018000</v>
      </c>
      <c r="G171">
        <v>3273000</v>
      </c>
      <c r="H171">
        <v>4583000</v>
      </c>
    </row>
    <row r="172" spans="1:8" ht="15" hidden="1" x14ac:dyDescent="0.25">
      <c r="B172" s="45" t="s">
        <v>177</v>
      </c>
      <c r="C172">
        <v>1693000</v>
      </c>
      <c r="D172">
        <v>1807000</v>
      </c>
      <c r="E172">
        <v>1909000</v>
      </c>
      <c r="F172">
        <v>1730000</v>
      </c>
      <c r="G172">
        <v>1488000</v>
      </c>
      <c r="H172">
        <v>1508000</v>
      </c>
    </row>
    <row r="173" spans="1:8" ht="15" hidden="1" x14ac:dyDescent="0.25">
      <c r="B173" s="45" t="s">
        <v>76</v>
      </c>
      <c r="C173">
        <v>6212000</v>
      </c>
      <c r="D173">
        <v>9135000</v>
      </c>
      <c r="E173">
        <v>11454000</v>
      </c>
      <c r="F173">
        <v>11209000</v>
      </c>
      <c r="G173">
        <v>11026000</v>
      </c>
      <c r="H173">
        <v>10837000</v>
      </c>
    </row>
    <row r="174" spans="1:8" ht="15" hidden="1" x14ac:dyDescent="0.25">
      <c r="B174" s="45" t="s">
        <v>178</v>
      </c>
      <c r="C174">
        <v>778000</v>
      </c>
      <c r="D174">
        <v>1048000</v>
      </c>
      <c r="E174">
        <v>1332000</v>
      </c>
      <c r="F174">
        <v>788000</v>
      </c>
      <c r="G174">
        <v>537000</v>
      </c>
      <c r="H174">
        <v>326000</v>
      </c>
    </row>
    <row r="175" spans="1:8" ht="15" hidden="1" x14ac:dyDescent="0.25">
      <c r="B175" s="45" t="s">
        <v>77</v>
      </c>
      <c r="C175">
        <v>1292000</v>
      </c>
      <c r="D175">
        <v>1305000</v>
      </c>
      <c r="E175">
        <v>1737000</v>
      </c>
      <c r="F175">
        <v>2455000</v>
      </c>
      <c r="G175">
        <v>3273000</v>
      </c>
      <c r="H175">
        <v>3265000</v>
      </c>
    </row>
    <row r="176" spans="1:8" ht="15" hidden="1" x14ac:dyDescent="0.25">
      <c r="A176" s="6"/>
      <c r="B176" s="45" t="s">
        <v>13</v>
      </c>
      <c r="C176">
        <v>51333000</v>
      </c>
      <c r="D176">
        <v>70379000</v>
      </c>
      <c r="E176">
        <v>75803000</v>
      </c>
      <c r="F176">
        <v>78717000</v>
      </c>
      <c r="G176">
        <v>82166000</v>
      </c>
      <c r="H176">
        <v>81611000</v>
      </c>
    </row>
    <row r="177" spans="1:8" ht="15" hidden="1" x14ac:dyDescent="0.25">
      <c r="A177" s="6"/>
      <c r="B177" s="45" t="s">
        <v>179</v>
      </c>
      <c r="C177">
        <v>232000</v>
      </c>
      <c r="D177">
        <v>252000</v>
      </c>
      <c r="E177">
        <v>197000</v>
      </c>
      <c r="F177">
        <v>126000</v>
      </c>
      <c r="G177">
        <v>139000</v>
      </c>
      <c r="H177">
        <v>227000</v>
      </c>
    </row>
    <row r="178" spans="1:8" ht="15" hidden="1" x14ac:dyDescent="0.25">
      <c r="A178" s="6"/>
      <c r="B178" s="45" t="s">
        <v>180</v>
      </c>
      <c r="C178">
        <v>24527000</v>
      </c>
      <c r="D178">
        <v>35418000</v>
      </c>
      <c r="E178">
        <v>38841000</v>
      </c>
      <c r="F178">
        <v>40107000</v>
      </c>
      <c r="G178">
        <v>41935000</v>
      </c>
      <c r="H178">
        <v>39671000</v>
      </c>
    </row>
    <row r="179" spans="1:8" ht="15" hidden="1" x14ac:dyDescent="0.25">
      <c r="A179" s="6"/>
      <c r="B179" s="45" t="s">
        <v>181</v>
      </c>
      <c r="C179">
        <v>2087000</v>
      </c>
      <c r="D179">
        <v>2648000</v>
      </c>
      <c r="E179">
        <v>3755000</v>
      </c>
      <c r="F179">
        <v>4055000</v>
      </c>
      <c r="G179">
        <v>6392000</v>
      </c>
      <c r="H179">
        <v>8478000</v>
      </c>
    </row>
    <row r="180" spans="1:8" ht="15" hidden="1" x14ac:dyDescent="0.25">
      <c r="A180" s="6"/>
      <c r="B180" s="45" t="s">
        <v>78</v>
      </c>
      <c r="C180">
        <v>26919000</v>
      </c>
      <c r="D180">
        <v>38447000</v>
      </c>
      <c r="E180">
        <v>43029000</v>
      </c>
      <c r="F180">
        <v>45101000</v>
      </c>
      <c r="G180">
        <v>48466000</v>
      </c>
      <c r="H180">
        <v>48376000</v>
      </c>
    </row>
    <row r="181" spans="1:8" ht="15" hidden="1" x14ac:dyDescent="0.25">
      <c r="A181" s="6"/>
      <c r="B181" s="45" t="s">
        <v>80</v>
      </c>
      <c r="C181">
        <v>2520000</v>
      </c>
      <c r="D181">
        <v>2930000</v>
      </c>
      <c r="E181">
        <v>2998000</v>
      </c>
      <c r="F181">
        <v>2925000</v>
      </c>
      <c r="G181">
        <v>2973000</v>
      </c>
      <c r="H181">
        <v>2939000</v>
      </c>
    </row>
    <row r="182" spans="1:8" ht="15" hidden="1" x14ac:dyDescent="0.25">
      <c r="A182" s="6"/>
      <c r="B182" s="45" t="s">
        <v>79</v>
      </c>
      <c r="C182">
        <v>4965000</v>
      </c>
      <c r="D182">
        <v>8939000</v>
      </c>
      <c r="E182">
        <v>8049000</v>
      </c>
      <c r="F182">
        <v>10417000</v>
      </c>
      <c r="G182">
        <v>9676000</v>
      </c>
      <c r="H182">
        <v>9879000</v>
      </c>
    </row>
    <row r="183" spans="1:8" ht="15" hidden="1" x14ac:dyDescent="0.25">
      <c r="A183" s="6"/>
      <c r="B183" s="45" t="s">
        <v>188</v>
      </c>
      <c r="C183">
        <v>73000</v>
      </c>
      <c r="D183">
        <v>129000</v>
      </c>
      <c r="E183">
        <v>236000</v>
      </c>
      <c r="F183">
        <v>813000</v>
      </c>
      <c r="G183"/>
      <c r="H183"/>
    </row>
    <row r="184" spans="1:8" ht="15" hidden="1" x14ac:dyDescent="0.25">
      <c r="A184" s="6"/>
      <c r="B184" s="45" t="s">
        <v>14</v>
      </c>
      <c r="C184">
        <v>34404000</v>
      </c>
      <c r="D184">
        <v>50316000</v>
      </c>
      <c r="E184">
        <v>54076000</v>
      </c>
      <c r="F184">
        <v>58443000</v>
      </c>
      <c r="G184">
        <v>61115000</v>
      </c>
      <c r="H184">
        <v>61194000</v>
      </c>
    </row>
    <row r="185" spans="1:8" ht="15" hidden="1" x14ac:dyDescent="0.25">
      <c r="A185" s="6"/>
      <c r="B185" s="45" t="s">
        <v>182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</row>
    <row r="186" spans="1:8" ht="15" hidden="1" x14ac:dyDescent="0.25">
      <c r="A186" s="6"/>
      <c r="B186" s="45" t="s">
        <v>183</v>
      </c>
      <c r="C186">
        <v>-6872000</v>
      </c>
      <c r="D186">
        <v>-8507000</v>
      </c>
      <c r="E186">
        <v>-11880000</v>
      </c>
      <c r="F186">
        <v>-16079000</v>
      </c>
      <c r="G186">
        <v>-21045000</v>
      </c>
      <c r="H186">
        <v>-27085000</v>
      </c>
    </row>
    <row r="187" spans="1:8" ht="15" hidden="1" x14ac:dyDescent="0.25">
      <c r="A187" s="6"/>
      <c r="B187" s="45" t="s">
        <v>184</v>
      </c>
      <c r="C187">
        <v>15588000</v>
      </c>
      <c r="D187">
        <v>16644000</v>
      </c>
      <c r="E187">
        <v>17208000</v>
      </c>
      <c r="F187">
        <v>18327000</v>
      </c>
      <c r="G187">
        <v>19642000</v>
      </c>
      <c r="H187">
        <v>20705000</v>
      </c>
    </row>
    <row r="188" spans="1:8" ht="15" hidden="1" x14ac:dyDescent="0.25">
      <c r="A188" s="6"/>
      <c r="B188" s="45" t="s">
        <v>185</v>
      </c>
      <c r="C188">
        <v>8342000</v>
      </c>
      <c r="D188">
        <v>12366000</v>
      </c>
      <c r="E188">
        <v>16535000</v>
      </c>
      <c r="F188">
        <v>18954000</v>
      </c>
      <c r="G188">
        <v>23200000</v>
      </c>
      <c r="H188">
        <v>27347000</v>
      </c>
    </row>
    <row r="189" spans="1:8" ht="15" hidden="1" x14ac:dyDescent="0.25">
      <c r="A189" s="6"/>
      <c r="B189" s="45" t="s">
        <v>186</v>
      </c>
      <c r="C189">
        <v>-173000</v>
      </c>
      <c r="D189">
        <v>-484000</v>
      </c>
      <c r="E189">
        <v>-136000</v>
      </c>
      <c r="F189">
        <v>-928000</v>
      </c>
      <c r="G189">
        <v>-746000</v>
      </c>
      <c r="H189">
        <v>-550000</v>
      </c>
    </row>
    <row r="190" spans="1:8" ht="15" hidden="1" x14ac:dyDescent="0.25">
      <c r="A190" s="6"/>
      <c r="B190" s="45" t="s">
        <v>187</v>
      </c>
      <c r="C190">
        <v>16885000</v>
      </c>
      <c r="D190">
        <v>20019000</v>
      </c>
      <c r="E190">
        <v>21727000</v>
      </c>
      <c r="F190">
        <v>20274000</v>
      </c>
      <c r="G190">
        <v>21051000</v>
      </c>
      <c r="H190">
        <v>20417000</v>
      </c>
    </row>
    <row r="191" spans="1:8" ht="15" hidden="1" x14ac:dyDescent="0.25">
      <c r="A191" s="6"/>
      <c r="B191" s="45" t="s">
        <v>41</v>
      </c>
      <c r="C191">
        <v>44000</v>
      </c>
      <c r="D191">
        <v>44000</v>
      </c>
      <c r="E191"/>
      <c r="F191"/>
      <c r="G191"/>
      <c r="H191"/>
    </row>
    <row r="192" spans="1:8" ht="15" hidden="1" x14ac:dyDescent="0.25">
      <c r="B192" s="45" t="s">
        <v>189</v>
      </c>
      <c r="C192">
        <v>16929000</v>
      </c>
      <c r="D192">
        <v>20063000</v>
      </c>
      <c r="E192"/>
      <c r="F192"/>
      <c r="G192"/>
      <c r="H192"/>
    </row>
    <row r="193" spans="1:8" ht="15" hidden="1" x14ac:dyDescent="0.25">
      <c r="B193" s="45" t="s">
        <v>11</v>
      </c>
      <c r="C193">
        <v>34566000</v>
      </c>
      <c r="D193">
        <v>57055000</v>
      </c>
      <c r="E193">
        <v>84281000</v>
      </c>
      <c r="F193">
        <v>118848000</v>
      </c>
      <c r="G193">
        <v>173144000</v>
      </c>
      <c r="H193">
        <v>237731000</v>
      </c>
    </row>
    <row r="194" spans="1:8" ht="15" hidden="1" x14ac:dyDescent="0.25">
      <c r="B194" s="45" t="s">
        <v>81</v>
      </c>
      <c r="C194">
        <v>3186000</v>
      </c>
      <c r="D194">
        <v>1822000</v>
      </c>
      <c r="E194">
        <v>-4678000</v>
      </c>
      <c r="F194">
        <v>-6343000</v>
      </c>
      <c r="G194">
        <v>-5590000</v>
      </c>
      <c r="H194">
        <v>-3347000</v>
      </c>
    </row>
    <row r="195" spans="1:8" s="53" customFormat="1" ht="15" hidden="1" x14ac:dyDescent="0.25">
      <c r="A195" s="50"/>
      <c r="B195" s="51" t="s">
        <v>82</v>
      </c>
      <c r="C195" s="52">
        <v>118304000</v>
      </c>
      <c r="D195" s="52">
        <v>141988000</v>
      </c>
      <c r="E195" s="52">
        <v>166542000</v>
      </c>
      <c r="F195" s="52">
        <v>206223000</v>
      </c>
      <c r="G195" s="52">
        <v>268477000</v>
      </c>
      <c r="H195" s="52">
        <v>343479000</v>
      </c>
    </row>
    <row r="196" spans="1:8" hidden="1" x14ac:dyDescent="0.2"/>
    <row r="197" spans="1:8" hidden="1" x14ac:dyDescent="0.2"/>
    <row r="198" spans="1:8" hidden="1" x14ac:dyDescent="0.2"/>
    <row r="199" spans="1:8" hidden="1" x14ac:dyDescent="0.2"/>
    <row r="200" spans="1:8" hidden="1" x14ac:dyDescent="0.2"/>
    <row r="201" spans="1:8" hidden="1" x14ac:dyDescent="0.2"/>
    <row r="202" spans="1:8" hidden="1" x14ac:dyDescent="0.2"/>
    <row r="203" spans="1:8" hidden="1" x14ac:dyDescent="0.2"/>
    <row r="204" spans="1:8" hidden="1" x14ac:dyDescent="0.2"/>
    <row r="205" spans="1:8" hidden="1" x14ac:dyDescent="0.2"/>
    <row r="206" spans="1:8" hidden="1" x14ac:dyDescent="0.2"/>
    <row r="207" spans="1:8" hidden="1" x14ac:dyDescent="0.2">
      <c r="B207" s="15"/>
      <c r="C207" s="14"/>
      <c r="D207" s="14"/>
      <c r="E207" s="14"/>
      <c r="F207" s="14"/>
      <c r="G207" s="14"/>
    </row>
    <row r="208" spans="1:8" hidden="1" x14ac:dyDescent="0.2">
      <c r="B208" s="16"/>
    </row>
    <row r="209" spans="1:12" ht="15" hidden="1" x14ac:dyDescent="0.25">
      <c r="B209"/>
      <c r="C209" s="45" t="s">
        <v>112</v>
      </c>
      <c r="D209" s="45" t="s">
        <v>113</v>
      </c>
      <c r="E209" s="45" t="s">
        <v>114</v>
      </c>
      <c r="F209" s="45" t="s">
        <v>115</v>
      </c>
      <c r="G209" s="45" t="s">
        <v>116</v>
      </c>
      <c r="H209" s="45" t="s">
        <v>117</v>
      </c>
    </row>
    <row r="210" spans="1:12" ht="15" hidden="1" x14ac:dyDescent="0.25">
      <c r="B210" s="45" t="s">
        <v>118</v>
      </c>
      <c r="C210">
        <v>2459000</v>
      </c>
      <c r="D210">
        <v>4202000</v>
      </c>
      <c r="E210">
        <v>4169000</v>
      </c>
      <c r="F210">
        <v>2419000</v>
      </c>
      <c r="G210">
        <v>4246000</v>
      </c>
      <c r="H210">
        <v>4147000</v>
      </c>
    </row>
    <row r="211" spans="1:12" ht="15" hidden="1" x14ac:dyDescent="0.25">
      <c r="B211" s="45" t="s">
        <v>119</v>
      </c>
      <c r="C211">
        <v>1380000</v>
      </c>
      <c r="D211">
        <v>1741000</v>
      </c>
      <c r="E211">
        <v>1060000</v>
      </c>
      <c r="F211">
        <v>1572000</v>
      </c>
      <c r="G211">
        <v>1682000</v>
      </c>
      <c r="H211">
        <v>1442000</v>
      </c>
      <c r="I211" s="7"/>
    </row>
    <row r="212" spans="1:12" s="7" customFormat="1" ht="15" hidden="1" x14ac:dyDescent="0.25">
      <c r="A212" s="5"/>
      <c r="B212" s="45" t="s">
        <v>69</v>
      </c>
      <c r="C212">
        <v>912000</v>
      </c>
      <c r="D212">
        <v>1189000</v>
      </c>
      <c r="E212">
        <v>1265000</v>
      </c>
      <c r="F212">
        <v>1317000</v>
      </c>
      <c r="G212">
        <v>1072000</v>
      </c>
      <c r="H212">
        <v>1032000</v>
      </c>
      <c r="I212" s="6"/>
    </row>
    <row r="213" spans="1:12" s="7" customFormat="1" ht="15" hidden="1" x14ac:dyDescent="0.25">
      <c r="A213" s="5"/>
      <c r="B213" s="45" t="s">
        <v>70</v>
      </c>
      <c r="C213">
        <v>1021000</v>
      </c>
      <c r="D213">
        <v>1376000</v>
      </c>
      <c r="E213">
        <v>1376000</v>
      </c>
      <c r="F213">
        <v>1261000</v>
      </c>
      <c r="G213">
        <v>1475000</v>
      </c>
      <c r="H213">
        <v>1230000</v>
      </c>
      <c r="I213" s="6"/>
    </row>
    <row r="214" spans="1:12" ht="15" hidden="1" x14ac:dyDescent="0.25">
      <c r="B214" s="45" t="s">
        <v>120</v>
      </c>
      <c r="C214">
        <v>-269000</v>
      </c>
      <c r="D214">
        <v>165000</v>
      </c>
      <c r="E214">
        <v>-482000</v>
      </c>
      <c r="F214">
        <v>-811000</v>
      </c>
      <c r="G214">
        <v>-668000</v>
      </c>
      <c r="H214">
        <v>231000</v>
      </c>
    </row>
    <row r="215" spans="1:12" ht="15" hidden="1" x14ac:dyDescent="0.25">
      <c r="B215" s="45" t="s">
        <v>121</v>
      </c>
      <c r="C215">
        <v>-208000</v>
      </c>
      <c r="D215">
        <v>-1914000</v>
      </c>
      <c r="E215">
        <v>-46000</v>
      </c>
      <c r="F215">
        <v>304000</v>
      </c>
      <c r="G215">
        <v>-201000</v>
      </c>
      <c r="H215">
        <v>285000</v>
      </c>
    </row>
    <row r="216" spans="1:12" ht="15" hidden="1" x14ac:dyDescent="0.25">
      <c r="B216" s="45" t="s">
        <v>122</v>
      </c>
      <c r="C216"/>
      <c r="D216"/>
      <c r="E216"/>
      <c r="F216">
        <v>0</v>
      </c>
      <c r="G216">
        <v>-356000</v>
      </c>
      <c r="H216">
        <v>0</v>
      </c>
    </row>
    <row r="217" spans="1:12" ht="15" hidden="1" x14ac:dyDescent="0.25">
      <c r="B217" s="45" t="s">
        <v>123</v>
      </c>
      <c r="C217"/>
      <c r="D217"/>
      <c r="E217"/>
      <c r="F217">
        <v>-70000</v>
      </c>
      <c r="G217">
        <v>-367000</v>
      </c>
      <c r="H217">
        <v>-335000</v>
      </c>
    </row>
    <row r="218" spans="1:12" ht="15" hidden="1" x14ac:dyDescent="0.25">
      <c r="B218" s="45" t="s">
        <v>124</v>
      </c>
      <c r="C218"/>
      <c r="D218"/>
      <c r="E218"/>
      <c r="F218">
        <v>0</v>
      </c>
      <c r="G218">
        <v>53000</v>
      </c>
      <c r="H218">
        <v>125000</v>
      </c>
    </row>
    <row r="219" spans="1:12" ht="15" hidden="1" x14ac:dyDescent="0.25">
      <c r="B219" s="45" t="s">
        <v>125</v>
      </c>
      <c r="C219">
        <v>-149000</v>
      </c>
      <c r="D219">
        <v>47000</v>
      </c>
      <c r="E219">
        <v>100000</v>
      </c>
      <c r="F219">
        <v>275000</v>
      </c>
      <c r="G219">
        <v>-104000</v>
      </c>
      <c r="H219">
        <v>-3000</v>
      </c>
    </row>
    <row r="220" spans="1:12" ht="15" hidden="1" x14ac:dyDescent="0.25">
      <c r="B220" s="45" t="s">
        <v>126</v>
      </c>
      <c r="C220"/>
      <c r="D220"/>
      <c r="E220"/>
      <c r="F220">
        <v>0</v>
      </c>
      <c r="G220">
        <v>-11470000</v>
      </c>
      <c r="H220">
        <v>-24498000</v>
      </c>
    </row>
    <row r="221" spans="1:12" ht="15" hidden="1" x14ac:dyDescent="0.25">
      <c r="B221" s="45" t="s">
        <v>127</v>
      </c>
      <c r="C221"/>
      <c r="D221"/>
      <c r="E221"/>
      <c r="F221">
        <v>0</v>
      </c>
      <c r="G221">
        <v>10795000</v>
      </c>
      <c r="H221">
        <v>24352000</v>
      </c>
    </row>
    <row r="222" spans="1:12" ht="15" hidden="1" x14ac:dyDescent="0.25">
      <c r="B222" s="45" t="s">
        <v>128</v>
      </c>
      <c r="C222">
        <v>-120000</v>
      </c>
      <c r="D222">
        <v>-100000</v>
      </c>
      <c r="E222">
        <v>-222000</v>
      </c>
      <c r="F222">
        <v>-163000</v>
      </c>
      <c r="G222">
        <v>-114000</v>
      </c>
      <c r="H222">
        <v>85000</v>
      </c>
      <c r="I222" s="7"/>
      <c r="J222" s="7"/>
      <c r="K222" s="7"/>
      <c r="L222" s="7"/>
    </row>
    <row r="223" spans="1:12" s="7" customFormat="1" ht="15" hidden="1" x14ac:dyDescent="0.25">
      <c r="A223" s="5"/>
      <c r="B223" s="45" t="s">
        <v>129</v>
      </c>
      <c r="C223">
        <v>-1079000</v>
      </c>
      <c r="D223">
        <v>-1120000</v>
      </c>
      <c r="E223">
        <v>-1178000</v>
      </c>
      <c r="F223">
        <v>-1230000</v>
      </c>
      <c r="G223">
        <v>-1188000</v>
      </c>
      <c r="H223">
        <v>-1131000</v>
      </c>
      <c r="I223" s="6"/>
    </row>
    <row r="224" spans="1:12" s="7" customFormat="1" ht="15" hidden="1" x14ac:dyDescent="0.25">
      <c r="A224" s="5"/>
      <c r="B224" s="45" t="s">
        <v>130</v>
      </c>
      <c r="C224">
        <v>-566000</v>
      </c>
      <c r="D224">
        <v>-498000</v>
      </c>
      <c r="E224">
        <v>-150000</v>
      </c>
      <c r="F224">
        <v>118000</v>
      </c>
      <c r="G224">
        <v>203000</v>
      </c>
      <c r="H224">
        <v>-8000</v>
      </c>
      <c r="I224" s="6"/>
    </row>
    <row r="225" spans="1:13" s="7" customFormat="1" ht="15" hidden="1" x14ac:dyDescent="0.25">
      <c r="A225" s="5"/>
      <c r="B225" s="45" t="s">
        <v>131</v>
      </c>
      <c r="C225">
        <v>4000</v>
      </c>
      <c r="D225">
        <v>-4000</v>
      </c>
      <c r="E225">
        <v>-31000</v>
      </c>
      <c r="F225">
        <v>-35000</v>
      </c>
      <c r="G225">
        <v>7000</v>
      </c>
      <c r="H225">
        <v>83000</v>
      </c>
      <c r="I225" s="6"/>
      <c r="J225" s="6"/>
      <c r="K225" s="6"/>
      <c r="L225" s="6"/>
    </row>
    <row r="226" spans="1:13" ht="15" hidden="1" x14ac:dyDescent="0.25">
      <c r="B226" s="45" t="s">
        <v>132</v>
      </c>
      <c r="C226">
        <v>722000</v>
      </c>
      <c r="D226">
        <v>1000000</v>
      </c>
      <c r="E226">
        <v>406000</v>
      </c>
      <c r="F226">
        <v>856000</v>
      </c>
      <c r="G226">
        <v>-222000</v>
      </c>
      <c r="H226">
        <v>413000</v>
      </c>
      <c r="I226" s="7"/>
    </row>
    <row r="227" spans="1:13" s="7" customFormat="1" ht="15" hidden="1" x14ac:dyDescent="0.25">
      <c r="A227" s="5"/>
      <c r="B227" s="45" t="s">
        <v>167</v>
      </c>
      <c r="C227">
        <v>4000</v>
      </c>
      <c r="D227">
        <v>0</v>
      </c>
      <c r="E227">
        <v>0</v>
      </c>
      <c r="F227"/>
      <c r="G227"/>
      <c r="H227"/>
      <c r="I227" s="6"/>
      <c r="J227" s="6"/>
      <c r="K227" s="6"/>
      <c r="L227" s="6"/>
      <c r="M227" s="6"/>
    </row>
    <row r="228" spans="1:13" ht="15" hidden="1" x14ac:dyDescent="0.25">
      <c r="B228" s="45" t="s">
        <v>168</v>
      </c>
      <c r="C228">
        <v>-40000</v>
      </c>
      <c r="D228">
        <v>-230000</v>
      </c>
      <c r="E228">
        <v>73000</v>
      </c>
      <c r="F228"/>
      <c r="G228"/>
      <c r="H228"/>
    </row>
    <row r="229" spans="1:13" ht="15" hidden="1" x14ac:dyDescent="0.25">
      <c r="B229" s="45" t="s">
        <v>133</v>
      </c>
      <c r="C229">
        <v>4071000</v>
      </c>
      <c r="D229">
        <v>5854000</v>
      </c>
      <c r="E229">
        <v>6340000</v>
      </c>
      <c r="F229">
        <v>5813000</v>
      </c>
      <c r="G229">
        <v>4843000</v>
      </c>
      <c r="H229">
        <v>7450000</v>
      </c>
    </row>
    <row r="230" spans="1:13" ht="15" hidden="1" x14ac:dyDescent="0.25">
      <c r="B230" s="45" t="s">
        <v>134</v>
      </c>
      <c r="C230"/>
      <c r="D230"/>
      <c r="E230"/>
      <c r="F230">
        <v>0</v>
      </c>
      <c r="G230">
        <v>0</v>
      </c>
      <c r="H230">
        <v>-424000</v>
      </c>
    </row>
    <row r="231" spans="1:13" ht="15" hidden="1" x14ac:dyDescent="0.25">
      <c r="B231" s="45" t="s">
        <v>135</v>
      </c>
      <c r="C231"/>
      <c r="D231"/>
      <c r="E231"/>
      <c r="F231">
        <v>0</v>
      </c>
      <c r="G231">
        <v>0</v>
      </c>
      <c r="H231">
        <v>337000</v>
      </c>
    </row>
    <row r="232" spans="1:13" ht="15" hidden="1" x14ac:dyDescent="0.25">
      <c r="B232" s="45" t="s">
        <v>136</v>
      </c>
      <c r="C232">
        <v>-704000</v>
      </c>
      <c r="D232">
        <v>-866000</v>
      </c>
      <c r="E232">
        <v>-908000</v>
      </c>
      <c r="F232">
        <v>-706000</v>
      </c>
      <c r="G232">
        <v>-623000</v>
      </c>
      <c r="H232">
        <v>-683000</v>
      </c>
    </row>
    <row r="233" spans="1:13" ht="15" hidden="1" x14ac:dyDescent="0.25">
      <c r="B233" s="45" t="s">
        <v>137</v>
      </c>
      <c r="C233">
        <v>17000</v>
      </c>
      <c r="D233">
        <v>120000</v>
      </c>
      <c r="E233">
        <v>5000</v>
      </c>
      <c r="F233">
        <v>5000</v>
      </c>
      <c r="G233">
        <v>45000</v>
      </c>
      <c r="H233">
        <v>1000</v>
      </c>
      <c r="I233" s="7"/>
    </row>
    <row r="234" spans="1:13" ht="15" hidden="1" x14ac:dyDescent="0.25">
      <c r="B234" s="45" t="s">
        <v>138</v>
      </c>
      <c r="C234"/>
      <c r="D234"/>
      <c r="E234"/>
      <c r="F234">
        <v>-28170000</v>
      </c>
      <c r="G234">
        <v>-25198000</v>
      </c>
      <c r="H234">
        <v>-21807000</v>
      </c>
    </row>
    <row r="235" spans="1:13" ht="15" hidden="1" x14ac:dyDescent="0.25">
      <c r="B235" s="45" t="s">
        <v>139</v>
      </c>
      <c r="C235">
        <v>-1631000</v>
      </c>
      <c r="D235">
        <v>294000</v>
      </c>
      <c r="E235">
        <v>-1594000</v>
      </c>
      <c r="F235">
        <v>24903000</v>
      </c>
      <c r="G235">
        <v>26660000</v>
      </c>
      <c r="H235">
        <v>20272000</v>
      </c>
    </row>
    <row r="236" spans="1:13" ht="15" hidden="1" x14ac:dyDescent="0.25">
      <c r="B236" s="45" t="s">
        <v>140</v>
      </c>
      <c r="C236">
        <v>-27881000</v>
      </c>
      <c r="D236">
        <v>-41513000</v>
      </c>
      <c r="E236">
        <v>-40116000</v>
      </c>
      <c r="F236">
        <v>-20219000</v>
      </c>
      <c r="G236">
        <v>-21980000</v>
      </c>
      <c r="H236">
        <v>-26209000</v>
      </c>
    </row>
    <row r="237" spans="1:13" ht="15" hidden="1" x14ac:dyDescent="0.25">
      <c r="B237" s="45" t="s">
        <v>141</v>
      </c>
      <c r="C237"/>
      <c r="D237"/>
      <c r="E237"/>
      <c r="F237">
        <v>23411000</v>
      </c>
      <c r="G237">
        <v>24295000</v>
      </c>
      <c r="H237">
        <v>26962000</v>
      </c>
      <c r="J237" s="7"/>
      <c r="K237" s="7"/>
      <c r="L237" s="7"/>
    </row>
    <row r="238" spans="1:13" s="7" customFormat="1" ht="15" hidden="1" x14ac:dyDescent="0.25">
      <c r="A238" s="5"/>
      <c r="B238" s="45" t="s">
        <v>142</v>
      </c>
      <c r="C238"/>
      <c r="D238"/>
      <c r="E238"/>
      <c r="F238">
        <v>0</v>
      </c>
      <c r="G238">
        <v>466000</v>
      </c>
      <c r="H238">
        <v>0</v>
      </c>
      <c r="I238" s="6"/>
      <c r="J238" s="6"/>
      <c r="K238" s="6"/>
      <c r="L238" s="6"/>
    </row>
    <row r="239" spans="1:13" ht="15" hidden="1" x14ac:dyDescent="0.25">
      <c r="B239" s="45" t="s">
        <v>143</v>
      </c>
      <c r="C239">
        <v>-351000</v>
      </c>
      <c r="D239">
        <v>-1552000</v>
      </c>
      <c r="E239">
        <v>193000</v>
      </c>
      <c r="F239">
        <v>-2720000</v>
      </c>
      <c r="G239">
        <v>-2943000</v>
      </c>
      <c r="H239">
        <v>2908000</v>
      </c>
    </row>
    <row r="240" spans="1:13" ht="15" hidden="1" x14ac:dyDescent="0.25">
      <c r="B240" s="45" t="s">
        <v>144</v>
      </c>
      <c r="C240"/>
      <c r="D240"/>
      <c r="E240"/>
      <c r="F240">
        <v>-19000</v>
      </c>
      <c r="G240">
        <v>-56000</v>
      </c>
      <c r="H240">
        <v>73000</v>
      </c>
      <c r="J240"/>
      <c r="K240"/>
    </row>
    <row r="241" spans="1:13" ht="15" hidden="1" x14ac:dyDescent="0.25">
      <c r="B241" s="45" t="s">
        <v>145</v>
      </c>
      <c r="C241"/>
      <c r="D241"/>
      <c r="E241"/>
      <c r="F241">
        <v>187000</v>
      </c>
      <c r="G241">
        <v>86000</v>
      </c>
      <c r="H241">
        <v>159000</v>
      </c>
      <c r="J241"/>
      <c r="K241"/>
      <c r="L241" s="7"/>
    </row>
    <row r="242" spans="1:13" ht="15" hidden="1" x14ac:dyDescent="0.25">
      <c r="B242" s="45" t="s">
        <v>169</v>
      </c>
      <c r="F242"/>
      <c r="G242"/>
      <c r="H242"/>
      <c r="J242" s="7"/>
      <c r="K242" s="7"/>
      <c r="L242" s="7"/>
      <c r="M242" s="7"/>
    </row>
    <row r="243" spans="1:13" s="7" customFormat="1" ht="15" hidden="1" x14ac:dyDescent="0.25">
      <c r="A243" s="5"/>
      <c r="B243" s="45" t="s">
        <v>170</v>
      </c>
      <c r="C243">
        <v>24878000</v>
      </c>
      <c r="D243">
        <v>30908000</v>
      </c>
      <c r="E243">
        <v>39698000</v>
      </c>
      <c r="F243"/>
      <c r="G243"/>
      <c r="H243"/>
      <c r="I243" s="6"/>
      <c r="J243" s="6"/>
      <c r="K243" s="6"/>
      <c r="L243" s="6"/>
      <c r="M243" s="6"/>
    </row>
    <row r="244" spans="1:13" ht="15" hidden="1" x14ac:dyDescent="0.25">
      <c r="B244" s="45" t="s">
        <v>171</v>
      </c>
      <c r="C244">
        <v>-70000</v>
      </c>
      <c r="D244">
        <v>-3609000</v>
      </c>
      <c r="E244">
        <v>-2763000</v>
      </c>
      <c r="F244"/>
      <c r="G244"/>
      <c r="H244"/>
    </row>
    <row r="245" spans="1:13" s="7" customFormat="1" ht="15" hidden="1" x14ac:dyDescent="0.25">
      <c r="A245" s="5"/>
      <c r="B245" s="45" t="s">
        <v>146</v>
      </c>
      <c r="C245">
        <v>-5742000</v>
      </c>
      <c r="D245">
        <v>-16218000</v>
      </c>
      <c r="E245">
        <v>-5485000</v>
      </c>
      <c r="F245">
        <v>-3328000</v>
      </c>
      <c r="G245">
        <v>752000</v>
      </c>
      <c r="H245">
        <v>1589000</v>
      </c>
      <c r="I245" s="6"/>
      <c r="J245"/>
      <c r="K245"/>
      <c r="L245" s="6"/>
    </row>
    <row r="246" spans="1:13" ht="15" hidden="1" x14ac:dyDescent="0.25">
      <c r="B246" s="45" t="s">
        <v>147</v>
      </c>
      <c r="C246"/>
      <c r="D246"/>
      <c r="E246"/>
      <c r="F246">
        <v>0</v>
      </c>
      <c r="G246">
        <v>0</v>
      </c>
      <c r="H246">
        <v>656000</v>
      </c>
      <c r="J246"/>
      <c r="K246"/>
    </row>
    <row r="247" spans="1:13" ht="15" hidden="1" x14ac:dyDescent="0.25">
      <c r="B247" s="45" t="s">
        <v>148</v>
      </c>
      <c r="C247"/>
      <c r="D247"/>
      <c r="E247"/>
      <c r="F247">
        <v>0</v>
      </c>
      <c r="G247">
        <v>0</v>
      </c>
      <c r="H247">
        <v>-656000</v>
      </c>
      <c r="J247"/>
      <c r="K247"/>
    </row>
    <row r="248" spans="1:13" ht="15" hidden="1" x14ac:dyDescent="0.25">
      <c r="B248" s="45" t="s">
        <v>149</v>
      </c>
      <c r="C248">
        <v>138000</v>
      </c>
      <c r="D248">
        <v>137000</v>
      </c>
      <c r="E248">
        <v>162000</v>
      </c>
      <c r="F248">
        <v>143000</v>
      </c>
      <c r="G248">
        <v>127000</v>
      </c>
      <c r="H248">
        <v>95000</v>
      </c>
      <c r="I248" s="7"/>
      <c r="J248"/>
      <c r="K248"/>
    </row>
    <row r="249" spans="1:13" ht="15" hidden="1" x14ac:dyDescent="0.25">
      <c r="B249" s="45" t="s">
        <v>150</v>
      </c>
      <c r="C249">
        <v>-1411000</v>
      </c>
      <c r="D249">
        <v>-1635000</v>
      </c>
      <c r="E249">
        <v>-3373000</v>
      </c>
      <c r="F249">
        <v>-4199000</v>
      </c>
      <c r="G249">
        <v>-5002000</v>
      </c>
      <c r="H249">
        <v>-6047000</v>
      </c>
      <c r="J249" s="7"/>
      <c r="K249" s="7"/>
      <c r="L249" s="7"/>
      <c r="M249" s="7"/>
    </row>
    <row r="250" spans="1:13" s="7" customFormat="1" ht="15" hidden="1" x14ac:dyDescent="0.25">
      <c r="A250" s="5"/>
      <c r="B250" s="45" t="s">
        <v>151</v>
      </c>
      <c r="C250">
        <v>-504000</v>
      </c>
      <c r="D250">
        <v>-521000</v>
      </c>
      <c r="E250">
        <v>-1036000</v>
      </c>
      <c r="F250">
        <v>-336000</v>
      </c>
      <c r="G250">
        <v>-257000</v>
      </c>
      <c r="H250">
        <v>-351000</v>
      </c>
      <c r="I250" s="6"/>
      <c r="J250" s="6"/>
      <c r="K250" s="6"/>
      <c r="L250" s="6"/>
      <c r="M250" s="6"/>
    </row>
    <row r="251" spans="1:13" ht="15" hidden="1" x14ac:dyDescent="0.25">
      <c r="B251" s="45" t="s">
        <v>152</v>
      </c>
      <c r="C251">
        <v>5471000</v>
      </c>
      <c r="D251">
        <v>6966000</v>
      </c>
      <c r="E251">
        <v>272000</v>
      </c>
      <c r="F251">
        <v>3475000</v>
      </c>
      <c r="G251">
        <v>1528000</v>
      </c>
      <c r="H251">
        <v>1546000</v>
      </c>
    </row>
    <row r="252" spans="1:13" ht="15" hidden="1" x14ac:dyDescent="0.25">
      <c r="B252" s="45" t="s">
        <v>153</v>
      </c>
      <c r="C252">
        <v>-2516000</v>
      </c>
      <c r="D252">
        <v>-3000000</v>
      </c>
      <c r="E252">
        <v>-361000</v>
      </c>
      <c r="F252">
        <v>-1686000</v>
      </c>
      <c r="G252">
        <v>-1053000</v>
      </c>
      <c r="H252">
        <v>-1661000</v>
      </c>
      <c r="I252" s="7"/>
    </row>
    <row r="253" spans="1:13" ht="15" hidden="1" x14ac:dyDescent="0.25">
      <c r="B253" s="45" t="s">
        <v>154</v>
      </c>
      <c r="C253">
        <v>3009000</v>
      </c>
      <c r="D253">
        <v>10597000</v>
      </c>
      <c r="E253">
        <v>3572000</v>
      </c>
      <c r="F253">
        <v>1405000</v>
      </c>
      <c r="G253">
        <v>1861000</v>
      </c>
      <c r="H253">
        <v>-1954000</v>
      </c>
    </row>
    <row r="254" spans="1:13" ht="15" hidden="1" x14ac:dyDescent="0.25">
      <c r="B254" s="45" t="s">
        <v>155</v>
      </c>
      <c r="C254"/>
      <c r="D254"/>
      <c r="E254"/>
      <c r="F254">
        <v>-6000</v>
      </c>
      <c r="G254">
        <v>-197000</v>
      </c>
      <c r="H254">
        <v>156000</v>
      </c>
    </row>
    <row r="255" spans="1:13" ht="15" hidden="1" x14ac:dyDescent="0.25">
      <c r="B255" s="45" t="s">
        <v>156</v>
      </c>
      <c r="C255">
        <v>0</v>
      </c>
      <c r="D255">
        <v>-52000</v>
      </c>
      <c r="E255">
        <v>0</v>
      </c>
      <c r="F255">
        <v>1000</v>
      </c>
      <c r="G255">
        <v>0</v>
      </c>
      <c r="H255">
        <v>-60000</v>
      </c>
      <c r="I255" s="7"/>
    </row>
    <row r="256" spans="1:13" ht="15" hidden="1" x14ac:dyDescent="0.25">
      <c r="B256" s="45" t="s">
        <v>157</v>
      </c>
      <c r="C256">
        <v>4187000</v>
      </c>
      <c r="D256">
        <v>12492000</v>
      </c>
      <c r="E256">
        <v>-764000</v>
      </c>
      <c r="F256">
        <v>-1203000</v>
      </c>
      <c r="G256">
        <v>-2993000</v>
      </c>
      <c r="H256">
        <v>-8276000</v>
      </c>
    </row>
    <row r="257" spans="1:19" ht="15" hidden="1" x14ac:dyDescent="0.25">
      <c r="B257" s="45" t="s">
        <v>158</v>
      </c>
      <c r="C257">
        <v>-6000</v>
      </c>
      <c r="D257">
        <v>169000</v>
      </c>
      <c r="E257">
        <v>-102000</v>
      </c>
      <c r="F257">
        <v>-155000</v>
      </c>
      <c r="G257">
        <v>76000</v>
      </c>
      <c r="H257">
        <v>-207000</v>
      </c>
    </row>
    <row r="258" spans="1:19" ht="15" hidden="1" x14ac:dyDescent="0.25">
      <c r="B258" s="45" t="s">
        <v>159</v>
      </c>
      <c r="C258">
        <v>2510000</v>
      </c>
      <c r="D258">
        <v>2297000</v>
      </c>
      <c r="E258">
        <v>-11000</v>
      </c>
      <c r="F258">
        <v>1127000</v>
      </c>
      <c r="G258">
        <v>2678000</v>
      </c>
      <c r="H258">
        <v>556000</v>
      </c>
    </row>
    <row r="259" spans="1:19" ht="15" hidden="1" x14ac:dyDescent="0.25">
      <c r="B259" s="45" t="s">
        <v>160</v>
      </c>
      <c r="C259">
        <v>78000</v>
      </c>
      <c r="D259">
        <v>190000</v>
      </c>
      <c r="E259">
        <v>231000</v>
      </c>
      <c r="F259">
        <v>280000</v>
      </c>
      <c r="G259">
        <v>331000</v>
      </c>
      <c r="H259">
        <v>366000</v>
      </c>
    </row>
    <row r="260" spans="1:19" ht="15" hidden="1" x14ac:dyDescent="0.25">
      <c r="B260" s="45" t="s">
        <v>161</v>
      </c>
      <c r="C260">
        <v>665000</v>
      </c>
      <c r="D260">
        <v>565000</v>
      </c>
      <c r="E260">
        <v>474000</v>
      </c>
      <c r="F260">
        <v>878000</v>
      </c>
      <c r="G260">
        <v>2118000</v>
      </c>
      <c r="H260">
        <v>1027000</v>
      </c>
    </row>
    <row r="261" spans="1:19" ht="15" hidden="1" x14ac:dyDescent="0.25">
      <c r="B261" s="45" t="s">
        <v>162</v>
      </c>
      <c r="C261">
        <v>7349000</v>
      </c>
      <c r="D261">
        <v>4794000</v>
      </c>
      <c r="E261">
        <v>5197000</v>
      </c>
      <c r="F261">
        <v>7776000</v>
      </c>
      <c r="G261">
        <v>9081000</v>
      </c>
      <c r="H261">
        <v>6561000</v>
      </c>
      <c r="J261" s="7"/>
      <c r="K261" s="7"/>
      <c r="L261" s="7"/>
      <c r="M261" s="7"/>
    </row>
    <row r="262" spans="1:19" s="7" customFormat="1" ht="15" hidden="1" x14ac:dyDescent="0.25">
      <c r="A262" s="5"/>
      <c r="B262" s="45" t="s">
        <v>163</v>
      </c>
      <c r="C262">
        <v>13233000</v>
      </c>
      <c r="D262">
        <v>15743000</v>
      </c>
      <c r="E262">
        <v>18040000</v>
      </c>
      <c r="F262">
        <v>18029000</v>
      </c>
      <c r="G262">
        <v>19156000</v>
      </c>
      <c r="H262">
        <v>21834000</v>
      </c>
      <c r="I262" s="6"/>
      <c r="J262" s="6"/>
      <c r="K262" s="6"/>
      <c r="L262" s="6"/>
      <c r="M262" s="6"/>
    </row>
    <row r="263" spans="1:19" ht="15" hidden="1" x14ac:dyDescent="0.25">
      <c r="B263" s="45" t="s">
        <v>164</v>
      </c>
      <c r="C263">
        <v>15743000</v>
      </c>
      <c r="D263">
        <v>18040000</v>
      </c>
      <c r="E263">
        <v>18029000</v>
      </c>
      <c r="F263">
        <v>19156000</v>
      </c>
      <c r="G263">
        <v>21834000</v>
      </c>
      <c r="H263">
        <v>22390000</v>
      </c>
    </row>
    <row r="264" spans="1:19" ht="15" hidden="1" x14ac:dyDescent="0.25">
      <c r="B264" s="45" t="s">
        <v>165</v>
      </c>
      <c r="C264">
        <v>7000</v>
      </c>
      <c r="D264">
        <v>24000</v>
      </c>
      <c r="E264">
        <v>109000</v>
      </c>
      <c r="F264">
        <v>17000</v>
      </c>
      <c r="G264">
        <v>3000</v>
      </c>
      <c r="H264">
        <v>1000</v>
      </c>
    </row>
    <row r="265" spans="1:19" ht="15" hidden="1" x14ac:dyDescent="0.25">
      <c r="B265" s="45" t="s">
        <v>166</v>
      </c>
      <c r="C265">
        <v>8387000</v>
      </c>
      <c r="D265">
        <v>13222000</v>
      </c>
      <c r="E265">
        <v>12723000</v>
      </c>
      <c r="F265">
        <v>11363000</v>
      </c>
      <c r="G265">
        <v>12750000</v>
      </c>
      <c r="H265">
        <v>15828000</v>
      </c>
      <c r="J265" s="7"/>
      <c r="K265" s="7"/>
      <c r="L265" s="7"/>
      <c r="M265" s="7"/>
    </row>
    <row r="266" spans="1:19" hidden="1" x14ac:dyDescent="0.2"/>
    <row r="267" spans="1:19" hidden="1" x14ac:dyDescent="0.2"/>
    <row r="268" spans="1:19" hidden="1" x14ac:dyDescent="0.2">
      <c r="B268" s="2" t="str">
        <f t="shared" ref="B268:H268" si="169">+B65</f>
        <v>EBITDA</v>
      </c>
      <c r="C268" s="6">
        <f t="shared" si="169"/>
        <v>3631000</v>
      </c>
      <c r="D268" s="6">
        <f t="shared" si="169"/>
        <v>4478000</v>
      </c>
      <c r="E268" s="6">
        <f t="shared" si="169"/>
        <v>5527000</v>
      </c>
      <c r="F268" s="6">
        <f t="shared" si="169"/>
        <v>5154000</v>
      </c>
      <c r="G268" s="6">
        <f t="shared" si="169"/>
        <v>6100000</v>
      </c>
      <c r="H268" s="6">
        <f t="shared" si="169"/>
        <v>6357000</v>
      </c>
    </row>
    <row r="269" spans="1:19" s="7" customFormat="1" hidden="1" x14ac:dyDescent="0.2">
      <c r="A269" s="2"/>
      <c r="B269" s="2" t="s">
        <v>31</v>
      </c>
      <c r="C269" s="6">
        <f t="shared" ref="C269:H269" si="170">C95</f>
        <v>-704000</v>
      </c>
      <c r="D269" s="6">
        <f t="shared" si="170"/>
        <v>-866000</v>
      </c>
      <c r="E269" s="6">
        <f t="shared" si="170"/>
        <v>-908000</v>
      </c>
      <c r="F269" s="6">
        <f t="shared" si="170"/>
        <v>-706000</v>
      </c>
      <c r="G269" s="6">
        <f t="shared" si="170"/>
        <v>-623000</v>
      </c>
      <c r="H269" s="6">
        <f t="shared" si="170"/>
        <v>-683000</v>
      </c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</row>
    <row r="270" spans="1:19" s="7" customFormat="1" hidden="1" x14ac:dyDescent="0.2">
      <c r="A270" s="2"/>
      <c r="B270" s="2" t="s">
        <v>53</v>
      </c>
      <c r="C270" s="6">
        <f>SUM(C268:C269)</f>
        <v>2927000</v>
      </c>
      <c r="D270" s="6">
        <f>SUM(D268:D269)</f>
        <v>3612000</v>
      </c>
      <c r="E270" s="6">
        <f t="shared" ref="E270:H270" si="171">SUM(E268:E269)</f>
        <v>4619000</v>
      </c>
      <c r="F270" s="6">
        <f t="shared" si="171"/>
        <v>4448000</v>
      </c>
      <c r="G270" s="6">
        <f t="shared" si="171"/>
        <v>5477000</v>
      </c>
      <c r="H270" s="6">
        <f t="shared" si="171"/>
        <v>5674000</v>
      </c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</row>
    <row r="271" spans="1:19" s="7" customFormat="1" hidden="1" x14ac:dyDescent="0.2">
      <c r="A271" s="2"/>
      <c r="B271" s="2" t="s">
        <v>54</v>
      </c>
      <c r="C271" s="43">
        <f t="shared" ref="C271" si="172">C270/C268</f>
        <v>0.80611401817681083</v>
      </c>
      <c r="D271" s="43">
        <f t="shared" ref="D271:H271" si="173">D270/D268</f>
        <v>0.80661009379187132</v>
      </c>
      <c r="E271" s="43">
        <f t="shared" si="173"/>
        <v>0.83571557807128638</v>
      </c>
      <c r="F271" s="43">
        <f>F270/F268</f>
        <v>0.86301901435778039</v>
      </c>
      <c r="G271" s="43">
        <f t="shared" si="173"/>
        <v>0.89786885245901638</v>
      </c>
      <c r="H271" s="43">
        <f t="shared" si="173"/>
        <v>0.89255938335692941</v>
      </c>
      <c r="I271" s="43"/>
      <c r="J271" s="6"/>
      <c r="K271" s="6"/>
      <c r="L271" s="6"/>
      <c r="M271" s="6"/>
      <c r="N271" s="6"/>
      <c r="O271" s="6"/>
      <c r="P271" s="6"/>
      <c r="Q271" s="6"/>
      <c r="R271" s="6"/>
      <c r="S271" s="6"/>
    </row>
    <row r="272" spans="1:19" hidden="1" x14ac:dyDescent="0.2">
      <c r="B272" s="2" t="s">
        <v>93</v>
      </c>
      <c r="C272" s="44">
        <f t="shared" ref="C272:H272" si="174">-C269/C55</f>
        <v>3.9612874184109838E-2</v>
      </c>
      <c r="D272" s="44">
        <f t="shared" si="174"/>
        <v>4.0365433019483546E-2</v>
      </c>
      <c r="E272" s="44">
        <f t="shared" si="174"/>
        <v>3.5788892830396907E-2</v>
      </c>
      <c r="F272" s="44">
        <f t="shared" si="174"/>
        <v>2.5655934297550694E-2</v>
      </c>
      <c r="G272" s="44">
        <f t="shared" si="174"/>
        <v>2.0926404890665412E-2</v>
      </c>
      <c r="H272" s="44">
        <f t="shared" si="174"/>
        <v>2.1480013837783439E-2</v>
      </c>
      <c r="I272" s="44"/>
    </row>
    <row r="273" spans="1:19" hidden="1" x14ac:dyDescent="0.2"/>
    <row r="274" spans="1:19" hidden="1" x14ac:dyDescent="0.2">
      <c r="B274" s="2" t="s">
        <v>55</v>
      </c>
      <c r="C274" s="35">
        <f>C69/'Operating Model'!C138</f>
        <v>0.14525370665721543</v>
      </c>
      <c r="D274" s="35">
        <f>D69/'Operating Model'!D138</f>
        <v>0.2094402631710113</v>
      </c>
      <c r="E274" s="35">
        <f>E69/'Operating Model'!E138</f>
        <v>0.19188106963685736</v>
      </c>
      <c r="F274" s="35">
        <f>F69/'Operating Model'!F138</f>
        <v>0.11931537930354148</v>
      </c>
      <c r="G274" s="35">
        <f>G69/'Operating Model'!G138</f>
        <v>0.20170063179896441</v>
      </c>
      <c r="H274" s="35">
        <f>H69/'Operating Model'!H138</f>
        <v>0.20311505118283782</v>
      </c>
      <c r="I274" s="35"/>
    </row>
    <row r="275" spans="1:19" hidden="1" x14ac:dyDescent="0.2">
      <c r="B275" s="2" t="s">
        <v>56</v>
      </c>
      <c r="C275" s="35" t="e">
        <f>C69/'Operating Model'!C129</f>
        <v>#REF!</v>
      </c>
      <c r="D275" s="35" t="e">
        <f>D69/'Operating Model'!D129</f>
        <v>#REF!</v>
      </c>
      <c r="E275" s="35" t="e">
        <f>E69/'Operating Model'!E129</f>
        <v>#REF!</v>
      </c>
      <c r="F275" s="35">
        <f>F69/'Operating Model'!F129</f>
        <v>3.0766687016687017E-2</v>
      </c>
      <c r="G275" s="35">
        <f>G69/'Operating Model'!G129</f>
        <v>5.1675875666334005E-2</v>
      </c>
      <c r="H275" s="35">
        <f>H69/'Operating Model'!H129</f>
        <v>5.2677040330263575E-2</v>
      </c>
      <c r="I275" s="35"/>
    </row>
    <row r="276" spans="1:19" hidden="1" x14ac:dyDescent="0.2"/>
    <row r="277" spans="1:19" hidden="1" x14ac:dyDescent="0.2"/>
    <row r="278" spans="1:19" hidden="1" x14ac:dyDescent="0.2"/>
    <row r="279" spans="1:19" ht="15" hidden="1" x14ac:dyDescent="0.25">
      <c r="B279"/>
      <c r="C279" s="45" t="s">
        <v>94</v>
      </c>
      <c r="D279" s="45" t="s">
        <v>95</v>
      </c>
      <c r="E279" s="45" t="s">
        <v>96</v>
      </c>
      <c r="F279" s="45" t="s">
        <v>97</v>
      </c>
      <c r="G279" s="45" t="s">
        <v>98</v>
      </c>
      <c r="H279" s="45" t="s">
        <v>99</v>
      </c>
    </row>
    <row r="280" spans="1:19" ht="15" hidden="1" x14ac:dyDescent="0.25">
      <c r="B280" s="45" t="s">
        <v>100</v>
      </c>
      <c r="C280">
        <v>17772000</v>
      </c>
      <c r="D280">
        <v>21454000</v>
      </c>
      <c r="E280">
        <v>25371000</v>
      </c>
      <c r="F280">
        <v>27518000</v>
      </c>
      <c r="G280">
        <v>29771000</v>
      </c>
      <c r="H280">
        <v>31797000</v>
      </c>
    </row>
    <row r="281" spans="1:19" s="7" customFormat="1" ht="15" hidden="1" x14ac:dyDescent="0.25">
      <c r="A281" s="2"/>
      <c r="B281" s="45" t="s">
        <v>101</v>
      </c>
      <c r="C281">
        <v>6790000</v>
      </c>
      <c r="D281">
        <v>7934000</v>
      </c>
      <c r="E281">
        <v>10315000</v>
      </c>
      <c r="F281">
        <v>12173000</v>
      </c>
      <c r="G281">
        <v>14385000</v>
      </c>
      <c r="H281">
        <v>15697000</v>
      </c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1:19" ht="15" hidden="1" x14ac:dyDescent="0.25">
      <c r="B282" s="45" t="s">
        <v>102</v>
      </c>
      <c r="C282">
        <v>1380000</v>
      </c>
      <c r="D282">
        <v>1741000</v>
      </c>
      <c r="E282">
        <v>1060000</v>
      </c>
      <c r="F282">
        <v>1572000</v>
      </c>
      <c r="G282">
        <v>1682000</v>
      </c>
      <c r="H282">
        <v>1442000</v>
      </c>
    </row>
    <row r="283" spans="1:19" ht="15" hidden="1" x14ac:dyDescent="0.25">
      <c r="B283" s="45" t="s">
        <v>108</v>
      </c>
      <c r="C283">
        <v>1615000</v>
      </c>
      <c r="D283">
        <v>1778000</v>
      </c>
      <c r="E283">
        <v>2075000</v>
      </c>
      <c r="F283">
        <v>2120000</v>
      </c>
      <c r="G283">
        <v>1919000</v>
      </c>
      <c r="H283">
        <v>1768000</v>
      </c>
    </row>
    <row r="284" spans="1:19" ht="15" hidden="1" x14ac:dyDescent="0.25">
      <c r="B284" s="45" t="s">
        <v>59</v>
      </c>
      <c r="C284">
        <v>1401000</v>
      </c>
      <c r="D284">
        <v>1861000</v>
      </c>
      <c r="E284">
        <v>2445000</v>
      </c>
      <c r="F284">
        <v>2257000</v>
      </c>
      <c r="G284">
        <v>1809000</v>
      </c>
      <c r="H284">
        <v>2001000</v>
      </c>
    </row>
    <row r="285" spans="1:19" s="7" customFormat="1" ht="15" hidden="1" x14ac:dyDescent="0.25">
      <c r="A285" s="2"/>
      <c r="B285" s="45" t="s">
        <v>58</v>
      </c>
      <c r="C285">
        <v>2085000</v>
      </c>
      <c r="D285">
        <v>2642000</v>
      </c>
      <c r="E285">
        <v>3038000</v>
      </c>
      <c r="F285">
        <v>3253000</v>
      </c>
      <c r="G285">
        <v>2973000</v>
      </c>
      <c r="H285">
        <v>2979000</v>
      </c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1:19" ht="15" hidden="1" x14ac:dyDescent="0.25">
      <c r="B286" s="45" t="s">
        <v>60</v>
      </c>
      <c r="C286">
        <v>1711000</v>
      </c>
      <c r="D286">
        <v>2070000</v>
      </c>
      <c r="E286">
        <v>2114000</v>
      </c>
      <c r="F286">
        <v>2099000</v>
      </c>
      <c r="G286">
        <v>2059000</v>
      </c>
      <c r="H286">
        <v>2147000</v>
      </c>
    </row>
    <row r="287" spans="1:19" ht="15" hidden="1" x14ac:dyDescent="0.25">
      <c r="B287" s="45" t="s">
        <v>103</v>
      </c>
      <c r="C287">
        <v>71000</v>
      </c>
      <c r="D287">
        <v>139000</v>
      </c>
      <c r="E287">
        <v>62000</v>
      </c>
      <c r="F287">
        <v>207000</v>
      </c>
      <c r="G287">
        <v>-84000</v>
      </c>
      <c r="H287">
        <v>438000</v>
      </c>
    </row>
    <row r="288" spans="1:19" ht="15" hidden="1" x14ac:dyDescent="0.25">
      <c r="A288" s="6"/>
      <c r="B288" s="45" t="s">
        <v>104</v>
      </c>
      <c r="C288">
        <v>15053000</v>
      </c>
      <c r="D288">
        <v>18165000</v>
      </c>
      <c r="E288">
        <v>21109000</v>
      </c>
      <c r="F288">
        <v>23681000</v>
      </c>
      <c r="G288">
        <v>24743000</v>
      </c>
      <c r="H288">
        <v>26472000</v>
      </c>
    </row>
    <row r="289" spans="1:8" ht="15" hidden="1" x14ac:dyDescent="0.25">
      <c r="A289" s="6"/>
      <c r="B289" s="45" t="s">
        <v>61</v>
      </c>
      <c r="C289">
        <v>2719000</v>
      </c>
      <c r="D289">
        <v>3289000</v>
      </c>
      <c r="E289">
        <v>4262000</v>
      </c>
      <c r="F289">
        <v>3837000</v>
      </c>
      <c r="G289">
        <v>5028000</v>
      </c>
      <c r="H289">
        <v>5325000</v>
      </c>
    </row>
    <row r="290" spans="1:8" ht="15" hidden="1" x14ac:dyDescent="0.25">
      <c r="A290" s="6"/>
      <c r="B290" s="45" t="s">
        <v>62</v>
      </c>
      <c r="C290">
        <v>279000</v>
      </c>
      <c r="D290">
        <v>1776000</v>
      </c>
      <c r="E290">
        <v>-163000</v>
      </c>
      <c r="F290">
        <v>-471000</v>
      </c>
      <c r="G290">
        <v>383000</v>
      </c>
      <c r="H290">
        <v>4000</v>
      </c>
    </row>
    <row r="291" spans="1:8" ht="15" hidden="1" x14ac:dyDescent="0.25">
      <c r="A291" s="6"/>
      <c r="B291" s="45" t="s">
        <v>105</v>
      </c>
      <c r="C291">
        <v>2998000</v>
      </c>
      <c r="D291">
        <v>5065000</v>
      </c>
      <c r="E291">
        <v>4099000</v>
      </c>
      <c r="F291">
        <v>3366000</v>
      </c>
      <c r="G291">
        <v>5411000</v>
      </c>
      <c r="H291">
        <v>5329000</v>
      </c>
    </row>
    <row r="292" spans="1:8" ht="15" hidden="1" x14ac:dyDescent="0.25">
      <c r="A292" s="6"/>
      <c r="B292" s="45" t="s">
        <v>63</v>
      </c>
      <c r="C292">
        <v>539000</v>
      </c>
      <c r="D292">
        <v>863000</v>
      </c>
      <c r="E292">
        <v>-70000</v>
      </c>
      <c r="F292">
        <v>947000</v>
      </c>
      <c r="G292">
        <v>1165000</v>
      </c>
      <c r="H292">
        <v>1182000</v>
      </c>
    </row>
    <row r="293" spans="1:8" ht="15" hidden="1" x14ac:dyDescent="0.25">
      <c r="A293" s="6"/>
      <c r="B293" s="45" t="s">
        <v>64</v>
      </c>
      <c r="C293">
        <v>2459000</v>
      </c>
      <c r="D293">
        <v>4202000</v>
      </c>
      <c r="E293">
        <v>4169000</v>
      </c>
      <c r="F293">
        <v>2419000</v>
      </c>
      <c r="G293">
        <v>4246000</v>
      </c>
      <c r="H293">
        <v>4147000</v>
      </c>
    </row>
    <row r="294" spans="1:8" ht="15" hidden="1" x14ac:dyDescent="0.25">
      <c r="A294" s="6"/>
      <c r="B294" s="45" t="s">
        <v>65</v>
      </c>
      <c r="C294">
        <v>2090</v>
      </c>
      <c r="D294">
        <v>3580</v>
      </c>
      <c r="E294">
        <v>3550</v>
      </c>
      <c r="F294">
        <v>2100</v>
      </c>
      <c r="G294">
        <v>3850</v>
      </c>
      <c r="H294">
        <v>4030</v>
      </c>
    </row>
    <row r="295" spans="1:8" ht="15" hidden="1" x14ac:dyDescent="0.25">
      <c r="A295" s="6"/>
      <c r="B295" s="45" t="s">
        <v>66</v>
      </c>
      <c r="C295">
        <v>2070</v>
      </c>
      <c r="D295">
        <v>3540</v>
      </c>
      <c r="E295">
        <v>3520</v>
      </c>
      <c r="F295">
        <v>2090</v>
      </c>
      <c r="G295">
        <v>3840</v>
      </c>
      <c r="H295">
        <v>3990</v>
      </c>
    </row>
    <row r="296" spans="1:8" ht="15" hidden="1" x14ac:dyDescent="0.25">
      <c r="A296" s="6"/>
      <c r="B296" s="45" t="s">
        <v>67</v>
      </c>
      <c r="C296">
        <v>1174000</v>
      </c>
      <c r="D296">
        <v>1173000</v>
      </c>
      <c r="E296">
        <v>1174000</v>
      </c>
      <c r="F296">
        <v>1154000</v>
      </c>
      <c r="G296">
        <v>1103000</v>
      </c>
      <c r="H296">
        <v>1029000</v>
      </c>
    </row>
    <row r="297" spans="1:8" ht="15" hidden="1" x14ac:dyDescent="0.25">
      <c r="A297" s="6"/>
      <c r="B297" s="45" t="s">
        <v>68</v>
      </c>
      <c r="C297">
        <v>1188000</v>
      </c>
      <c r="D297">
        <v>1187000</v>
      </c>
      <c r="E297">
        <v>1186000</v>
      </c>
      <c r="F297">
        <v>1158000</v>
      </c>
      <c r="G297">
        <v>1107000</v>
      </c>
      <c r="H297">
        <v>1039000</v>
      </c>
    </row>
  </sheetData>
  <phoneticPr fontId="5" type="noConversion"/>
  <pageMargins left="0.75" right="0.75" top="1" bottom="1" header="0.3" footer="0.3"/>
  <pageSetup paperSize="9" scale="47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D2:W40"/>
  <sheetViews>
    <sheetView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28" sqref="J28"/>
    </sheetView>
  </sheetViews>
  <sheetFormatPr defaultColWidth="8.7109375" defaultRowHeight="15" x14ac:dyDescent="0.25"/>
  <cols>
    <col min="1" max="3" width="1.7109375" customWidth="1"/>
    <col min="4" max="4" width="52" customWidth="1"/>
    <col min="5" max="21" width="12" customWidth="1"/>
    <col min="23" max="23" width="9" bestFit="1" customWidth="1"/>
  </cols>
  <sheetData>
    <row r="2" spans="4:23" x14ac:dyDescent="0.25">
      <c r="D2" s="59" t="s">
        <v>283</v>
      </c>
      <c r="E2" s="59" t="s">
        <v>284</v>
      </c>
      <c r="F2" s="59" t="s">
        <v>285</v>
      </c>
      <c r="G2" s="59" t="s">
        <v>286</v>
      </c>
      <c r="H2" s="59" t="s">
        <v>287</v>
      </c>
      <c r="I2" s="59" t="s">
        <v>288</v>
      </c>
      <c r="J2" s="59" t="s">
        <v>289</v>
      </c>
      <c r="K2" s="59" t="s">
        <v>290</v>
      </c>
      <c r="L2" s="59" t="s">
        <v>291</v>
      </c>
      <c r="M2" s="59" t="s">
        <v>292</v>
      </c>
      <c r="N2" s="59" t="s">
        <v>293</v>
      </c>
      <c r="O2" s="59" t="s">
        <v>294</v>
      </c>
      <c r="P2" s="59" t="s">
        <v>295</v>
      </c>
      <c r="Q2" s="59" t="s">
        <v>296</v>
      </c>
      <c r="R2" s="59" t="s">
        <v>297</v>
      </c>
      <c r="S2" s="59" t="s">
        <v>298</v>
      </c>
      <c r="T2" s="59" t="s">
        <v>299</v>
      </c>
      <c r="U2" s="59" t="s">
        <v>300</v>
      </c>
    </row>
    <row r="3" spans="4:23" x14ac:dyDescent="0.25">
      <c r="D3" s="2" t="str">
        <f>D9</f>
        <v>Number of payment transactions</v>
      </c>
      <c r="F3" s="136">
        <f>F9/E9-1</f>
        <v>2.3580627607473259E-2</v>
      </c>
      <c r="G3" s="136">
        <f>G9/F9-1</f>
        <v>6.8934963671805738E-2</v>
      </c>
      <c r="H3" s="136">
        <f>H9/G9-1</f>
        <v>-3.265915119363394E-2</v>
      </c>
      <c r="I3" s="136">
        <f>I9/H9-1</f>
        <v>4.095972579263063E-2</v>
      </c>
      <c r="J3" s="136"/>
      <c r="K3" s="136"/>
      <c r="L3" s="136"/>
      <c r="M3" s="136"/>
      <c r="N3" s="136">
        <f t="shared" ref="N3:U3" si="0">N9/M9-1</f>
        <v>7.7507598784194442E-3</v>
      </c>
      <c r="O3" s="136">
        <f t="shared" si="0"/>
        <v>-1.8096817976172019E-3</v>
      </c>
      <c r="P3" s="136">
        <f t="shared" si="0"/>
        <v>-8.6720048345671596E-2</v>
      </c>
      <c r="Q3" s="136">
        <f t="shared" si="0"/>
        <v>2.9942100909842839E-2</v>
      </c>
      <c r="R3" s="136">
        <f t="shared" si="0"/>
        <v>1.6864760681015056E-2</v>
      </c>
      <c r="S3" s="136">
        <f t="shared" si="0"/>
        <v>6.6814089401358467E-2</v>
      </c>
      <c r="T3" s="136">
        <f t="shared" si="0"/>
        <v>-4.1308854012437113E-2</v>
      </c>
      <c r="U3" s="136">
        <f t="shared" si="0"/>
        <v>4.2471042471042386E-2</v>
      </c>
    </row>
    <row r="4" spans="4:23" x14ac:dyDescent="0.25">
      <c r="D4" s="2" t="str">
        <f>D11</f>
        <v>Total Payment Volume (TPV)</v>
      </c>
      <c r="F4" s="136">
        <f>F11/E11-1</f>
        <v>-8.2933332548537075E-3</v>
      </c>
      <c r="G4" s="136">
        <f>G11/F11-1</f>
        <v>6.0553812916761984E-2</v>
      </c>
      <c r="H4" s="136">
        <f>H11/G11-1</f>
        <v>-8.0307125788381395E-3</v>
      </c>
      <c r="I4" s="136">
        <f>I11/H11-1</f>
        <v>6.2142462229343165E-2</v>
      </c>
      <c r="J4" s="136"/>
      <c r="K4" s="136"/>
      <c r="L4" s="136"/>
      <c r="M4" s="136"/>
      <c r="N4" s="136">
        <f t="shared" ref="N4:U4" si="1">N11/M11-1</f>
        <v>1.3979856722662776E-2</v>
      </c>
      <c r="O4" s="136">
        <f t="shared" si="1"/>
        <v>3.5952498692743973E-2</v>
      </c>
      <c r="P4" s="136">
        <f t="shared" si="1"/>
        <v>-4.7113531093834204E-2</v>
      </c>
      <c r="Q4" s="136">
        <f t="shared" si="1"/>
        <v>6.3131579451976005E-2</v>
      </c>
      <c r="R4" s="136">
        <f t="shared" si="1"/>
        <v>3.2783447977328128E-2</v>
      </c>
      <c r="S4" s="136">
        <f t="shared" si="1"/>
        <v>3.7213373849565912E-2</v>
      </c>
      <c r="T4" s="136">
        <f t="shared" si="1"/>
        <v>-2.3530154587643515E-2</v>
      </c>
      <c r="U4" s="136">
        <f t="shared" si="1"/>
        <v>4.8480994924076759E-2</v>
      </c>
      <c r="W4" s="141"/>
    </row>
    <row r="5" spans="4:23" x14ac:dyDescent="0.25">
      <c r="D5" s="2" t="s">
        <v>312</v>
      </c>
      <c r="F5" s="136">
        <f>F4-F3</f>
        <v>-3.1873960862326967E-2</v>
      </c>
      <c r="G5" s="136">
        <f>G4-G3</f>
        <v>-8.3811507550437536E-3</v>
      </c>
      <c r="H5" s="136">
        <f>H4-H3</f>
        <v>2.46284386147958E-2</v>
      </c>
      <c r="I5" s="136">
        <f>I4-I3</f>
        <v>2.1182736436712535E-2</v>
      </c>
      <c r="J5" s="136"/>
      <c r="K5" s="136"/>
      <c r="L5" s="136"/>
      <c r="M5" s="136"/>
      <c r="N5" s="136">
        <f t="shared" ref="N5:U5" si="2">N4-N3</f>
        <v>6.2290968442433314E-3</v>
      </c>
      <c r="O5" s="136">
        <f t="shared" si="2"/>
        <v>3.7762180490361175E-2</v>
      </c>
      <c r="P5" s="136">
        <f>P4-P3</f>
        <v>3.9606517251837392E-2</v>
      </c>
      <c r="Q5" s="136">
        <f>Q4-Q3</f>
        <v>3.3189478542133166E-2</v>
      </c>
      <c r="R5" s="136">
        <f t="shared" si="2"/>
        <v>1.5918687296313072E-2</v>
      </c>
      <c r="S5" s="136">
        <f t="shared" si="2"/>
        <v>-2.9600715551792556E-2</v>
      </c>
      <c r="T5" s="136">
        <f t="shared" si="2"/>
        <v>1.7778699424793598E-2</v>
      </c>
      <c r="U5" s="136">
        <f t="shared" si="2"/>
        <v>6.0099524530343729E-3</v>
      </c>
    </row>
    <row r="6" spans="4:23" x14ac:dyDescent="0.25">
      <c r="D6" s="2" t="str">
        <f>'Operating Model'!B9</f>
        <v>Average payment value per payment transaction</v>
      </c>
      <c r="E6" s="138">
        <f t="shared" ref="E6:U6" si="3">IFERROR(E11/E9,"")</f>
        <v>61.634500272084168</v>
      </c>
      <c r="F6" s="138">
        <f t="shared" si="3"/>
        <v>59.715222399432925</v>
      </c>
      <c r="G6" s="138">
        <f t="shared" si="3"/>
        <v>59.247015915119363</v>
      </c>
      <c r="H6" s="138">
        <f t="shared" si="3"/>
        <v>60.755441302485004</v>
      </c>
      <c r="I6" s="138">
        <f t="shared" si="3"/>
        <v>61.991768192295027</v>
      </c>
      <c r="J6" s="138" t="str">
        <f t="shared" si="3"/>
        <v/>
      </c>
      <c r="K6" s="138" t="str">
        <f t="shared" si="3"/>
        <v/>
      </c>
      <c r="L6" s="138" t="str">
        <f t="shared" si="3"/>
        <v/>
      </c>
      <c r="M6" s="138">
        <f t="shared" si="3"/>
        <v>63.345592705167171</v>
      </c>
      <c r="N6" s="138">
        <f t="shared" si="3"/>
        <v>63.737143718896093</v>
      </c>
      <c r="O6" s="138">
        <f t="shared" si="3"/>
        <v>66.148360779573949</v>
      </c>
      <c r="P6" s="138">
        <f t="shared" si="3"/>
        <v>69.017038875103395</v>
      </c>
      <c r="Q6" s="138">
        <f t="shared" si="3"/>
        <v>71.241085769354314</v>
      </c>
      <c r="R6" s="138">
        <f t="shared" si="3"/>
        <v>72.356341810140577</v>
      </c>
      <c r="S6" s="138">
        <f t="shared" si="3"/>
        <v>70.348682262363042</v>
      </c>
      <c r="T6" s="138">
        <f t="shared" si="3"/>
        <v>71.653281853281854</v>
      </c>
      <c r="U6" s="138">
        <f t="shared" si="3"/>
        <v>72.066370370370365</v>
      </c>
    </row>
    <row r="7" spans="4:23" x14ac:dyDescent="0.25">
      <c r="D7" s="2"/>
    </row>
    <row r="8" spans="4:23" x14ac:dyDescent="0.25">
      <c r="D8" s="2" t="s">
        <v>301</v>
      </c>
      <c r="E8" s="73">
        <v>429</v>
      </c>
      <c r="F8" s="73">
        <v>432</v>
      </c>
      <c r="G8" s="73">
        <v>435</v>
      </c>
      <c r="H8" s="73">
        <v>433</v>
      </c>
      <c r="I8" s="73">
        <v>431</v>
      </c>
      <c r="J8" s="73"/>
      <c r="K8" s="73"/>
      <c r="L8" s="73"/>
      <c r="M8" s="73">
        <v>429</v>
      </c>
      <c r="N8" s="73">
        <v>432</v>
      </c>
      <c r="O8" s="73">
        <v>434</v>
      </c>
      <c r="P8" s="73">
        <v>436</v>
      </c>
      <c r="Q8" s="73">
        <v>438</v>
      </c>
      <c r="R8" s="73">
        <v>438</v>
      </c>
      <c r="S8" s="73">
        <v>439</v>
      </c>
      <c r="T8" s="73">
        <v>439</v>
      </c>
      <c r="U8" s="73">
        <v>439</v>
      </c>
    </row>
    <row r="9" spans="4:23" x14ac:dyDescent="0.25">
      <c r="D9" s="2" t="s">
        <v>302</v>
      </c>
      <c r="E9" s="73">
        <v>5513</v>
      </c>
      <c r="F9" s="73">
        <v>5643</v>
      </c>
      <c r="G9" s="73">
        <v>6032</v>
      </c>
      <c r="H9" s="73">
        <v>5835</v>
      </c>
      <c r="I9" s="73">
        <v>6074</v>
      </c>
      <c r="J9" s="73"/>
      <c r="K9" s="73"/>
      <c r="L9" s="73"/>
      <c r="M9" s="73">
        <v>6580</v>
      </c>
      <c r="N9" s="73">
        <v>6631</v>
      </c>
      <c r="O9" s="73">
        <v>6619</v>
      </c>
      <c r="P9" s="73">
        <v>6045</v>
      </c>
      <c r="Q9" s="73">
        <v>6226</v>
      </c>
      <c r="R9" s="73">
        <v>6331</v>
      </c>
      <c r="S9" s="73">
        <v>6754</v>
      </c>
      <c r="T9" s="73">
        <v>6475</v>
      </c>
      <c r="U9" s="73">
        <v>6750</v>
      </c>
    </row>
    <row r="10" spans="4:23" x14ac:dyDescent="0.25">
      <c r="D10" s="2" t="s">
        <v>303</v>
      </c>
      <c r="E10" s="73">
        <v>48.7</v>
      </c>
      <c r="F10" s="73">
        <v>50.1</v>
      </c>
      <c r="G10" s="73">
        <v>51.4</v>
      </c>
      <c r="H10" s="73">
        <v>53.1</v>
      </c>
      <c r="I10" s="73">
        <v>54.7</v>
      </c>
      <c r="J10" s="73"/>
      <c r="K10" s="73"/>
      <c r="L10" s="73"/>
      <c r="M10" s="73">
        <v>60.9</v>
      </c>
      <c r="N10" s="73">
        <v>61.4</v>
      </c>
      <c r="O10" s="73">
        <v>60.6</v>
      </c>
      <c r="P10" s="73">
        <v>59.4</v>
      </c>
      <c r="Q10" s="73">
        <v>58.3</v>
      </c>
      <c r="R10" s="73">
        <v>57.6</v>
      </c>
      <c r="S10" s="73">
        <v>57.7</v>
      </c>
      <c r="T10" s="73">
        <v>58.7</v>
      </c>
      <c r="U10" s="73">
        <v>60</v>
      </c>
    </row>
    <row r="11" spans="4:23" x14ac:dyDescent="0.25">
      <c r="D11" s="2" t="s">
        <v>304</v>
      </c>
      <c r="E11" s="73">
        <v>339791</v>
      </c>
      <c r="F11" s="73">
        <v>336973</v>
      </c>
      <c r="G11" s="73">
        <v>357378</v>
      </c>
      <c r="H11" s="73">
        <v>354508</v>
      </c>
      <c r="I11" s="73">
        <v>376538</v>
      </c>
      <c r="J11" s="73"/>
      <c r="K11" s="73"/>
      <c r="L11" s="73"/>
      <c r="M11" s="73">
        <v>416814</v>
      </c>
      <c r="N11" s="73">
        <v>422641</v>
      </c>
      <c r="O11" s="73">
        <v>437836</v>
      </c>
      <c r="P11" s="73">
        <v>417208</v>
      </c>
      <c r="Q11" s="73">
        <v>443547</v>
      </c>
      <c r="R11" s="73">
        <v>458088</v>
      </c>
      <c r="S11" s="73">
        <v>475135</v>
      </c>
      <c r="T11" s="73">
        <v>463955</v>
      </c>
      <c r="U11" s="73">
        <v>486448</v>
      </c>
    </row>
    <row r="12" spans="4:23" x14ac:dyDescent="0.25">
      <c r="D12" s="2" t="s">
        <v>305</v>
      </c>
      <c r="E12" s="73">
        <v>6272</v>
      </c>
      <c r="F12" s="73">
        <v>6234</v>
      </c>
      <c r="G12" s="73">
        <v>6702</v>
      </c>
      <c r="H12" s="73">
        <v>6364</v>
      </c>
      <c r="I12" s="73">
        <v>6556</v>
      </c>
      <c r="J12" s="73"/>
      <c r="K12" s="73"/>
      <c r="L12" s="73"/>
      <c r="M12" s="73">
        <v>7153</v>
      </c>
      <c r="N12" s="73">
        <v>7067</v>
      </c>
      <c r="O12" s="73">
        <v>7588</v>
      </c>
      <c r="P12" s="73">
        <v>7016</v>
      </c>
      <c r="Q12" s="73">
        <v>7441</v>
      </c>
      <c r="R12" s="73">
        <v>7522</v>
      </c>
      <c r="S12" s="73">
        <v>7819</v>
      </c>
      <c r="T12" s="73">
        <v>7501</v>
      </c>
      <c r="U12" s="73">
        <v>7832</v>
      </c>
    </row>
    <row r="13" spans="4:23" x14ac:dyDescent="0.25">
      <c r="D13" s="2" t="s">
        <v>306</v>
      </c>
      <c r="E13" s="73">
        <v>534</v>
      </c>
      <c r="F13" s="73">
        <v>612</v>
      </c>
      <c r="G13" s="73">
        <v>681</v>
      </c>
      <c r="H13" s="73">
        <v>676</v>
      </c>
      <c r="I13" s="73">
        <v>731</v>
      </c>
      <c r="J13" s="73"/>
      <c r="K13" s="73"/>
      <c r="L13" s="73"/>
      <c r="M13" s="73">
        <v>732</v>
      </c>
      <c r="N13" s="73">
        <v>780</v>
      </c>
      <c r="O13" s="73">
        <v>778</v>
      </c>
      <c r="P13" s="73">
        <v>775</v>
      </c>
      <c r="Q13" s="73">
        <v>847</v>
      </c>
      <c r="R13" s="73">
        <v>895</v>
      </c>
      <c r="S13" s="73">
        <v>857</v>
      </c>
      <c r="T13" s="73">
        <v>852</v>
      </c>
      <c r="U13" s="73">
        <v>850</v>
      </c>
    </row>
    <row r="14" spans="4:23" s="130" customFormat="1" x14ac:dyDescent="0.25">
      <c r="D14" s="13" t="s">
        <v>452</v>
      </c>
      <c r="E14" s="131">
        <f>E12+E13</f>
        <v>6806</v>
      </c>
      <c r="F14" s="131">
        <f>F12+F13</f>
        <v>6846</v>
      </c>
      <c r="G14" s="131">
        <f>G12+G13</f>
        <v>7383</v>
      </c>
      <c r="H14" s="131">
        <f>H12+H13</f>
        <v>7040</v>
      </c>
      <c r="I14" s="131">
        <f>I12+I13</f>
        <v>7287</v>
      </c>
      <c r="J14" s="131"/>
      <c r="K14" s="131"/>
      <c r="L14" s="131"/>
      <c r="M14" s="131">
        <f t="shared" ref="M14:U14" si="4">M12+M13</f>
        <v>7885</v>
      </c>
      <c r="N14" s="131">
        <f t="shared" si="4"/>
        <v>7847</v>
      </c>
      <c r="O14" s="131">
        <f t="shared" si="4"/>
        <v>8366</v>
      </c>
      <c r="P14" s="131">
        <f t="shared" si="4"/>
        <v>7791</v>
      </c>
      <c r="Q14" s="131">
        <f t="shared" si="4"/>
        <v>8288</v>
      </c>
      <c r="R14" s="131">
        <f t="shared" si="4"/>
        <v>8417</v>
      </c>
      <c r="S14" s="131">
        <f t="shared" si="4"/>
        <v>8676</v>
      </c>
      <c r="T14" s="131">
        <f t="shared" si="4"/>
        <v>8353</v>
      </c>
      <c r="U14" s="131">
        <f t="shared" si="4"/>
        <v>8682</v>
      </c>
    </row>
    <row r="15" spans="4:23" x14ac:dyDescent="0.25">
      <c r="D15" s="2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</row>
    <row r="16" spans="4:23" x14ac:dyDescent="0.25">
      <c r="D16" s="2" t="s">
        <v>307</v>
      </c>
      <c r="E16" s="140">
        <v>8.9999999999999993E-3</v>
      </c>
      <c r="F16" s="140">
        <v>8.8999999999999999E-3</v>
      </c>
      <c r="G16" s="140">
        <v>9.2999999999999992E-3</v>
      </c>
      <c r="H16" s="140">
        <v>9.2999999999999992E-3</v>
      </c>
      <c r="I16" s="140">
        <v>9.4000000000000004E-3</v>
      </c>
      <c r="M16" s="140">
        <v>9.4999999999999998E-3</v>
      </c>
      <c r="N16" s="140">
        <v>9.1000000000000004E-3</v>
      </c>
      <c r="O16" s="140">
        <v>9.1000000000000004E-3</v>
      </c>
      <c r="P16" s="140">
        <v>8.8999999999999999E-3</v>
      </c>
      <c r="Q16" s="140">
        <v>8.8999999999999999E-3</v>
      </c>
      <c r="R16" s="140">
        <v>8.8999999999999999E-3</v>
      </c>
      <c r="S16" s="140">
        <v>8.8999999999999999E-3</v>
      </c>
      <c r="T16" s="140">
        <v>8.9999999999999993E-3</v>
      </c>
      <c r="U16" s="140">
        <v>8.9999999999999993E-3</v>
      </c>
    </row>
    <row r="17" spans="4:21" x14ac:dyDescent="0.25">
      <c r="D17" s="2" t="s">
        <v>308</v>
      </c>
      <c r="E17" s="140">
        <v>1.2999999999999999E-3</v>
      </c>
      <c r="F17" s="140">
        <v>1.1000000000000001E-3</v>
      </c>
      <c r="G17" s="140">
        <v>1.1000000000000001E-3</v>
      </c>
      <c r="H17" s="140">
        <v>1.1999999999999999E-3</v>
      </c>
      <c r="I17" s="140">
        <v>1.1000000000000001E-3</v>
      </c>
      <c r="M17" s="140">
        <v>8.0000000000000004E-4</v>
      </c>
      <c r="N17" s="140">
        <v>8.0000000000000004E-4</v>
      </c>
      <c r="O17" s="140">
        <v>1E-3</v>
      </c>
      <c r="P17" s="140">
        <v>8.9999999999999998E-4</v>
      </c>
      <c r="Q17" s="140">
        <v>1.1000000000000001E-3</v>
      </c>
      <c r="R17" s="140">
        <v>1.1000000000000001E-3</v>
      </c>
      <c r="S17" s="140">
        <v>8.0000000000000004E-4</v>
      </c>
      <c r="T17" s="140">
        <v>8.0000000000000004E-4</v>
      </c>
      <c r="U17" s="140">
        <v>8.0000000000000004E-4</v>
      </c>
    </row>
    <row r="18" spans="4:21" x14ac:dyDescent="0.25">
      <c r="D18" s="2" t="s">
        <v>309</v>
      </c>
      <c r="E18" s="139">
        <v>0.48699999999999999</v>
      </c>
      <c r="F18" s="139">
        <v>0.51</v>
      </c>
      <c r="G18" s="139">
        <v>0.497</v>
      </c>
      <c r="H18" s="139">
        <v>0.47099999999999997</v>
      </c>
      <c r="I18" s="139">
        <v>0.45900000000000002</v>
      </c>
      <c r="M18" s="139">
        <v>0.45800000000000002</v>
      </c>
      <c r="N18" s="139">
        <v>0.46600000000000003</v>
      </c>
      <c r="O18" s="139">
        <v>0.47</v>
      </c>
      <c r="P18" s="139">
        <v>0.47699999999999998</v>
      </c>
      <c r="Q18" s="139">
        <v>0.46400000000000002</v>
      </c>
      <c r="R18" s="139">
        <v>0.46</v>
      </c>
      <c r="S18" s="139">
        <v>0.46500000000000002</v>
      </c>
      <c r="T18" s="139">
        <v>0.45600000000000002</v>
      </c>
      <c r="U18" s="139">
        <v>0.44900000000000001</v>
      </c>
    </row>
    <row r="19" spans="4:21" x14ac:dyDescent="0.25">
      <c r="D19" s="2"/>
    </row>
    <row r="20" spans="4:21" x14ac:dyDescent="0.25">
      <c r="D20" s="2" t="str">
        <f>'Operating Model'!B31</f>
        <v>Average no of Payment transactions per Account</v>
      </c>
      <c r="E20" s="138">
        <f t="shared" ref="E20:U20" si="5">IFERROR(E9/E8,"")</f>
        <v>12.850815850815851</v>
      </c>
      <c r="F20" s="138">
        <f t="shared" si="5"/>
        <v>13.0625</v>
      </c>
      <c r="G20" s="138">
        <f t="shared" si="5"/>
        <v>13.866666666666667</v>
      </c>
      <c r="H20" s="138">
        <f t="shared" si="5"/>
        <v>13.475750577367206</v>
      </c>
      <c r="I20" s="138">
        <f t="shared" si="5"/>
        <v>14.092807424593968</v>
      </c>
      <c r="J20" s="138" t="str">
        <f t="shared" si="5"/>
        <v/>
      </c>
      <c r="K20" s="138" t="str">
        <f t="shared" si="5"/>
        <v/>
      </c>
      <c r="L20" s="138" t="str">
        <f t="shared" si="5"/>
        <v/>
      </c>
      <c r="M20" s="138">
        <f t="shared" si="5"/>
        <v>15.337995337995338</v>
      </c>
      <c r="N20" s="138">
        <f t="shared" si="5"/>
        <v>15.349537037037036</v>
      </c>
      <c r="O20" s="138">
        <f t="shared" si="5"/>
        <v>15.251152073732719</v>
      </c>
      <c r="P20" s="138">
        <f t="shared" si="5"/>
        <v>13.864678899082568</v>
      </c>
      <c r="Q20" s="138">
        <f t="shared" si="5"/>
        <v>14.214611872146119</v>
      </c>
      <c r="R20" s="138">
        <f t="shared" si="5"/>
        <v>14.454337899543379</v>
      </c>
      <c r="S20" s="138">
        <f t="shared" si="5"/>
        <v>15.38496583143508</v>
      </c>
      <c r="T20" s="138">
        <f t="shared" si="5"/>
        <v>14.749430523917995</v>
      </c>
      <c r="U20" s="138">
        <f t="shared" si="5"/>
        <v>15.375854214123008</v>
      </c>
    </row>
    <row r="21" spans="4:21" x14ac:dyDescent="0.25">
      <c r="D21" s="2" t="str">
        <f>'Operating Model'!B32</f>
        <v>Average Payment value  per Account</v>
      </c>
      <c r="E21" s="138">
        <f t="shared" ref="E21:U21" si="6">IFERROR(E11/E8,"")</f>
        <v>792.05361305361305</v>
      </c>
      <c r="F21" s="138">
        <f t="shared" si="6"/>
        <v>780.03009259259261</v>
      </c>
      <c r="G21" s="138">
        <f t="shared" si="6"/>
        <v>821.55862068965519</v>
      </c>
      <c r="H21" s="138">
        <f t="shared" si="6"/>
        <v>818.72517321016164</v>
      </c>
      <c r="I21" s="138">
        <f t="shared" si="6"/>
        <v>873.63805104408357</v>
      </c>
      <c r="J21" s="138" t="str">
        <f t="shared" si="6"/>
        <v/>
      </c>
      <c r="K21" s="138" t="str">
        <f t="shared" si="6"/>
        <v/>
      </c>
      <c r="L21" s="138" t="str">
        <f t="shared" si="6"/>
        <v/>
      </c>
      <c r="M21" s="138">
        <f t="shared" si="6"/>
        <v>971.59440559440554</v>
      </c>
      <c r="N21" s="138">
        <f t="shared" si="6"/>
        <v>978.33564814814815</v>
      </c>
      <c r="O21" s="138">
        <f t="shared" si="6"/>
        <v>1008.8387096774194</v>
      </c>
      <c r="P21" s="138">
        <f t="shared" si="6"/>
        <v>956.89908256880733</v>
      </c>
      <c r="Q21" s="138">
        <f t="shared" si="6"/>
        <v>1012.6643835616438</v>
      </c>
      <c r="R21" s="138">
        <f t="shared" si="6"/>
        <v>1045.8630136986301</v>
      </c>
      <c r="S21" s="138">
        <f t="shared" si="6"/>
        <v>1082.3120728929384</v>
      </c>
      <c r="T21" s="138">
        <f t="shared" si="6"/>
        <v>1056.8451025056947</v>
      </c>
      <c r="U21" s="138">
        <f t="shared" si="6"/>
        <v>1108.0820045558087</v>
      </c>
    </row>
    <row r="22" spans="4:21" x14ac:dyDescent="0.25">
      <c r="D22" s="2" t="str">
        <f>'Operating Model'!B15</f>
        <v>Transaction Revenue per payment transaction</v>
      </c>
      <c r="E22" s="132">
        <f t="shared" ref="E22:U22" si="7">IFERROR(E12/E9,"")</f>
        <v>1.1376745873390168</v>
      </c>
      <c r="F22" s="132">
        <f t="shared" si="7"/>
        <v>1.1047315257841575</v>
      </c>
      <c r="G22" s="132">
        <f t="shared" si="7"/>
        <v>1.1110742705570291</v>
      </c>
      <c r="H22" s="132">
        <f t="shared" si="7"/>
        <v>1.0906598114824335</v>
      </c>
      <c r="I22" s="132">
        <f t="shared" si="7"/>
        <v>1.0793546262759302</v>
      </c>
      <c r="J22" s="132" t="str">
        <f t="shared" si="7"/>
        <v/>
      </c>
      <c r="K22" s="132" t="str">
        <f t="shared" si="7"/>
        <v/>
      </c>
      <c r="L22" s="132" t="str">
        <f t="shared" si="7"/>
        <v/>
      </c>
      <c r="M22" s="132">
        <f t="shared" si="7"/>
        <v>1.0870820668693009</v>
      </c>
      <c r="N22" s="132">
        <f t="shared" si="7"/>
        <v>1.0657517719800935</v>
      </c>
      <c r="O22" s="132">
        <f t="shared" si="7"/>
        <v>1.1463967366671703</v>
      </c>
      <c r="P22" s="132">
        <f t="shared" si="7"/>
        <v>1.1606286186931347</v>
      </c>
      <c r="Q22" s="132">
        <f t="shared" si="7"/>
        <v>1.1951493735946033</v>
      </c>
      <c r="R22" s="132">
        <f t="shared" si="7"/>
        <v>1.1881219396619807</v>
      </c>
      <c r="S22" s="132">
        <f t="shared" si="7"/>
        <v>1.1576843352087651</v>
      </c>
      <c r="T22" s="132">
        <f t="shared" si="7"/>
        <v>1.1584555984555984</v>
      </c>
      <c r="U22" s="132">
        <f t="shared" si="7"/>
        <v>1.1602962962962964</v>
      </c>
    </row>
    <row r="23" spans="4:21" x14ac:dyDescent="0.25">
      <c r="D23" s="2" t="str">
        <f>'Operating Model'!B30</f>
        <v>Transaction Revenue per Account</v>
      </c>
      <c r="E23" s="138">
        <f t="shared" ref="E23:U23" si="8">IFERROR(E12/E8,"")</f>
        <v>14.620046620046621</v>
      </c>
      <c r="F23" s="138">
        <f t="shared" si="8"/>
        <v>14.430555555555555</v>
      </c>
      <c r="G23" s="138">
        <f t="shared" si="8"/>
        <v>15.406896551724138</v>
      </c>
      <c r="H23" s="138">
        <f t="shared" si="8"/>
        <v>14.697459584295611</v>
      </c>
      <c r="I23" s="138">
        <f t="shared" si="8"/>
        <v>15.211136890951277</v>
      </c>
      <c r="J23" s="138" t="str">
        <f t="shared" si="8"/>
        <v/>
      </c>
      <c r="K23" s="138" t="str">
        <f t="shared" si="8"/>
        <v/>
      </c>
      <c r="L23" s="138" t="str">
        <f t="shared" si="8"/>
        <v/>
      </c>
      <c r="M23" s="138">
        <f t="shared" si="8"/>
        <v>16.673659673659674</v>
      </c>
      <c r="N23" s="138">
        <f t="shared" si="8"/>
        <v>16.358796296296298</v>
      </c>
      <c r="O23" s="138">
        <f t="shared" si="8"/>
        <v>17.483870967741936</v>
      </c>
      <c r="P23" s="138">
        <f t="shared" si="8"/>
        <v>16.091743119266056</v>
      </c>
      <c r="Q23" s="138">
        <f t="shared" si="8"/>
        <v>16.988584474885844</v>
      </c>
      <c r="R23" s="138">
        <f t="shared" si="8"/>
        <v>17.173515981735161</v>
      </c>
      <c r="S23" s="138">
        <f t="shared" si="8"/>
        <v>17.810933940774486</v>
      </c>
      <c r="T23" s="138">
        <f t="shared" si="8"/>
        <v>17.086560364464692</v>
      </c>
      <c r="U23" s="138">
        <f t="shared" si="8"/>
        <v>17.840546697038725</v>
      </c>
    </row>
    <row r="24" spans="4:21" x14ac:dyDescent="0.25">
      <c r="D24" s="2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</row>
    <row r="25" spans="4:21" x14ac:dyDescent="0.25">
      <c r="D25" s="2" t="s">
        <v>454</v>
      </c>
      <c r="E25" s="136">
        <f t="shared" ref="E25:U25" si="9">IFERROR(E14/E11,"")</f>
        <v>2.0029959592808521E-2</v>
      </c>
      <c r="F25" s="136">
        <f t="shared" si="9"/>
        <v>2.0316167764182887E-2</v>
      </c>
      <c r="G25" s="136">
        <f t="shared" si="9"/>
        <v>2.0658798247234021E-2</v>
      </c>
      <c r="H25" s="136">
        <f t="shared" si="9"/>
        <v>1.9858508129576766E-2</v>
      </c>
      <c r="I25" s="136">
        <f t="shared" si="9"/>
        <v>1.9352628419973549E-2</v>
      </c>
      <c r="J25" s="136" t="str">
        <f t="shared" si="9"/>
        <v/>
      </c>
      <c r="K25" s="136" t="str">
        <f t="shared" si="9"/>
        <v/>
      </c>
      <c r="L25" s="136" t="str">
        <f t="shared" si="9"/>
        <v/>
      </c>
      <c r="M25" s="136">
        <f t="shared" si="9"/>
        <v>1.8917310838887369E-2</v>
      </c>
      <c r="N25" s="136">
        <f t="shared" si="9"/>
        <v>1.8566584879365702E-2</v>
      </c>
      <c r="O25" s="136">
        <f t="shared" si="9"/>
        <v>1.9107611068984735E-2</v>
      </c>
      <c r="P25" s="136">
        <f t="shared" si="9"/>
        <v>1.8674138559183907E-2</v>
      </c>
      <c r="Q25" s="136">
        <f t="shared" si="9"/>
        <v>1.8685731162650182E-2</v>
      </c>
      <c r="R25" s="136">
        <f t="shared" si="9"/>
        <v>1.8374198843890258E-2</v>
      </c>
      <c r="S25" s="136">
        <f t="shared" si="9"/>
        <v>1.826007345280815E-2</v>
      </c>
      <c r="T25" s="136">
        <f t="shared" si="9"/>
        <v>1.8003901240422025E-2</v>
      </c>
      <c r="U25" s="136">
        <f t="shared" si="9"/>
        <v>1.7847745288293918E-2</v>
      </c>
    </row>
    <row r="26" spans="4:21" x14ac:dyDescent="0.25">
      <c r="D26" s="2" t="s">
        <v>453</v>
      </c>
      <c r="E26" s="136">
        <f t="shared" ref="E26:U26" si="10">IFERROR(E12/E11,"")</f>
        <v>1.8458405313854693E-2</v>
      </c>
      <c r="F26" s="136">
        <f t="shared" si="10"/>
        <v>1.8499998516201595E-2</v>
      </c>
      <c r="G26" s="136">
        <f t="shared" si="10"/>
        <v>1.8753252858318085E-2</v>
      </c>
      <c r="H26" s="136">
        <f t="shared" si="10"/>
        <v>1.7951640019407179E-2</v>
      </c>
      <c r="I26" s="136">
        <f t="shared" si="10"/>
        <v>1.7411257296740302E-2</v>
      </c>
      <c r="J26" s="136" t="str">
        <f t="shared" si="10"/>
        <v/>
      </c>
      <c r="K26" s="136" t="str">
        <f t="shared" si="10"/>
        <v/>
      </c>
      <c r="L26" s="136" t="str">
        <f t="shared" si="10"/>
        <v/>
      </c>
      <c r="M26" s="136">
        <f t="shared" si="10"/>
        <v>1.7161131823787108E-2</v>
      </c>
      <c r="N26" s="136">
        <f t="shared" si="10"/>
        <v>1.672104694054765E-2</v>
      </c>
      <c r="O26" s="136">
        <f t="shared" si="10"/>
        <v>1.7330690030056915E-2</v>
      </c>
      <c r="P26" s="136">
        <f t="shared" si="10"/>
        <v>1.6816551935725108E-2</v>
      </c>
      <c r="Q26" s="136">
        <f t="shared" si="10"/>
        <v>1.6776125190791507E-2</v>
      </c>
      <c r="R26" s="136">
        <f t="shared" si="10"/>
        <v>1.6420425769721102E-2</v>
      </c>
      <c r="S26" s="136">
        <f t="shared" si="10"/>
        <v>1.6456375556420808E-2</v>
      </c>
      <c r="T26" s="136">
        <f t="shared" si="10"/>
        <v>1.6167516246187671E-2</v>
      </c>
      <c r="U26" s="136">
        <f t="shared" si="10"/>
        <v>1.6100384830444365E-2</v>
      </c>
    </row>
    <row r="27" spans="4:21" x14ac:dyDescent="0.25">
      <c r="D27" s="2"/>
    </row>
    <row r="28" spans="4:21" x14ac:dyDescent="0.25">
      <c r="D28" s="2" t="str">
        <f>D8</f>
        <v>Active accounts</v>
      </c>
      <c r="F28" s="136">
        <f>F8/E8-1</f>
        <v>6.9930069930070893E-3</v>
      </c>
      <c r="G28" s="136">
        <f>G8/F8-1</f>
        <v>6.9444444444444198E-3</v>
      </c>
      <c r="H28" s="136">
        <f>H8/G8-1</f>
        <v>-4.5977011494252595E-3</v>
      </c>
      <c r="I28" s="136">
        <f>I8/H8-1</f>
        <v>-4.6189376443418473E-3</v>
      </c>
      <c r="J28" s="136"/>
      <c r="K28" s="136"/>
      <c r="L28" s="136"/>
      <c r="M28" s="136"/>
      <c r="N28" s="136">
        <f t="shared" ref="N28:U28" si="11">N8/M8-1</f>
        <v>6.9930069930070893E-3</v>
      </c>
      <c r="O28" s="136">
        <f t="shared" si="11"/>
        <v>4.6296296296295392E-3</v>
      </c>
      <c r="P28" s="136">
        <f t="shared" si="11"/>
        <v>4.6082949308756671E-3</v>
      </c>
      <c r="Q28" s="136">
        <f t="shared" si="11"/>
        <v>4.5871559633028358E-3</v>
      </c>
      <c r="R28" s="136">
        <f t="shared" si="11"/>
        <v>0</v>
      </c>
      <c r="S28" s="136">
        <f t="shared" si="11"/>
        <v>2.2831050228311334E-3</v>
      </c>
      <c r="T28" s="136">
        <f t="shared" si="11"/>
        <v>0</v>
      </c>
      <c r="U28" s="136">
        <f t="shared" si="11"/>
        <v>0</v>
      </c>
    </row>
    <row r="29" spans="4:21" x14ac:dyDescent="0.25">
      <c r="D29" s="2" t="str">
        <f>D10</f>
        <v>Payment transactions per active account (TPA, TTM)</v>
      </c>
      <c r="F29" s="136">
        <f>F10/E10-1</f>
        <v>2.8747433264886935E-2</v>
      </c>
      <c r="G29" s="136">
        <f>G10/F10-1</f>
        <v>2.5948103792415189E-2</v>
      </c>
      <c r="H29" s="136">
        <f>H10/G10-1</f>
        <v>3.3073929961089599E-2</v>
      </c>
      <c r="I29" s="136">
        <f>I10/H10-1</f>
        <v>3.0131826741996326E-2</v>
      </c>
      <c r="J29" s="136"/>
      <c r="K29" s="136"/>
      <c r="L29" s="136"/>
      <c r="M29" s="136"/>
      <c r="N29" s="136">
        <f t="shared" ref="N29:U29" si="12">N10/M10-1</f>
        <v>8.2101806239738284E-3</v>
      </c>
      <c r="O29" s="136">
        <f t="shared" si="12"/>
        <v>-1.3029315960912058E-2</v>
      </c>
      <c r="P29" s="136">
        <f t="shared" si="12"/>
        <v>-1.980198019801982E-2</v>
      </c>
      <c r="Q29" s="136">
        <f t="shared" si="12"/>
        <v>-1.851851851851849E-2</v>
      </c>
      <c r="R29" s="136">
        <f t="shared" si="12"/>
        <v>-1.2006861063464713E-2</v>
      </c>
      <c r="S29" s="136">
        <f t="shared" si="12"/>
        <v>1.7361111111111605E-3</v>
      </c>
      <c r="T29" s="136">
        <f t="shared" si="12"/>
        <v>1.7331022530329365E-2</v>
      </c>
      <c r="U29" s="136">
        <f t="shared" si="12"/>
        <v>2.2146507666098714E-2</v>
      </c>
    </row>
    <row r="30" spans="4:21" x14ac:dyDescent="0.25">
      <c r="D30" s="2" t="str">
        <f>D12</f>
        <v>Transaction revenue</v>
      </c>
      <c r="F30" s="136">
        <f>F12/E12-1</f>
        <v>-6.0586734693877098E-3</v>
      </c>
      <c r="G30" s="136">
        <f>G12/F12-1</f>
        <v>7.5072184793070207E-2</v>
      </c>
      <c r="H30" s="136">
        <f>H12/G12-1</f>
        <v>-5.0432706654729986E-2</v>
      </c>
      <c r="I30" s="136">
        <f>I12/H12-1</f>
        <v>3.0169704588309143E-2</v>
      </c>
      <c r="J30" s="136"/>
      <c r="K30" s="136"/>
      <c r="L30" s="136"/>
      <c r="M30" s="136"/>
      <c r="N30" s="136">
        <f t="shared" ref="N30:U30" si="13">N12/M12-1</f>
        <v>-1.2022927443030906E-2</v>
      </c>
      <c r="O30" s="136">
        <f t="shared" si="13"/>
        <v>7.3722937597283211E-2</v>
      </c>
      <c r="P30" s="136">
        <f t="shared" si="13"/>
        <v>-7.538218239325245E-2</v>
      </c>
      <c r="Q30" s="136">
        <f t="shared" si="13"/>
        <v>6.0575826681870115E-2</v>
      </c>
      <c r="R30" s="136">
        <f t="shared" si="13"/>
        <v>1.0885633651390947E-2</v>
      </c>
      <c r="S30" s="136">
        <f t="shared" si="13"/>
        <v>3.9484179739430969E-2</v>
      </c>
      <c r="T30" s="136">
        <f t="shared" si="13"/>
        <v>-4.0670162424862544E-2</v>
      </c>
      <c r="U30" s="136">
        <f t="shared" si="13"/>
        <v>4.4127449673376784E-2</v>
      </c>
    </row>
    <row r="31" spans="4:21" s="156" customFormat="1" x14ac:dyDescent="0.25">
      <c r="D31" s="2" t="str">
        <f>D13</f>
        <v>Revenues from other value added services (OVAS)</v>
      </c>
      <c r="E31" s="156">
        <f>E13/E11</f>
        <v>1.5715542789538274E-3</v>
      </c>
      <c r="F31" s="156">
        <f>F13/F11</f>
        <v>1.8161692479812923E-3</v>
      </c>
      <c r="G31" s="156">
        <f>G13/G11</f>
        <v>1.9055453889159377E-3</v>
      </c>
      <c r="H31" s="156">
        <f>H13/H11</f>
        <v>1.9068681101695871E-3</v>
      </c>
      <c r="I31" s="156">
        <f>I13/I11</f>
        <v>1.941371123233246E-3</v>
      </c>
      <c r="J31" s="157"/>
      <c r="K31" s="157"/>
      <c r="L31" s="157"/>
      <c r="M31" s="157"/>
      <c r="N31" s="156">
        <f t="shared" ref="N31:U31" si="14">N13/N11</f>
        <v>1.8455379388180513E-3</v>
      </c>
      <c r="O31" s="156">
        <f t="shared" si="14"/>
        <v>1.7769210389278177E-3</v>
      </c>
      <c r="P31" s="156">
        <f t="shared" si="14"/>
        <v>1.8575866234588024E-3</v>
      </c>
      <c r="Q31" s="156">
        <f t="shared" si="14"/>
        <v>1.9096059718586756E-3</v>
      </c>
      <c r="R31" s="156">
        <f t="shared" si="14"/>
        <v>1.9537730741691554E-3</v>
      </c>
      <c r="S31" s="156">
        <f t="shared" si="14"/>
        <v>1.8036978963873425E-3</v>
      </c>
      <c r="T31" s="156">
        <f t="shared" si="14"/>
        <v>1.8363849942343547E-3</v>
      </c>
      <c r="U31" s="156">
        <f t="shared" si="14"/>
        <v>1.7473604578495544E-3</v>
      </c>
    </row>
    <row r="32" spans="4:21" x14ac:dyDescent="0.25">
      <c r="D32" s="2" t="str">
        <f>D14</f>
        <v>Total net revenues (Transaction rev + OVAS)</v>
      </c>
      <c r="F32" s="136">
        <f>F14/E14-1</f>
        <v>5.8771672054069857E-3</v>
      </c>
      <c r="G32" s="136">
        <f>G14/F14-1</f>
        <v>7.8439964943032514E-2</v>
      </c>
      <c r="H32" s="136">
        <f>H14/G14-1</f>
        <v>-4.6458079371529237E-2</v>
      </c>
      <c r="I32" s="136">
        <f>I14/H14-1</f>
        <v>3.5085227272727337E-2</v>
      </c>
      <c r="J32" s="136"/>
      <c r="K32" s="136"/>
      <c r="L32" s="136"/>
      <c r="M32" s="136"/>
      <c r="N32" s="136">
        <f t="shared" ref="N32:U32" si="15">N14/M14-1</f>
        <v>-4.8192771084337727E-3</v>
      </c>
      <c r="O32" s="136">
        <f t="shared" si="15"/>
        <v>6.6139926086402401E-2</v>
      </c>
      <c r="P32" s="136">
        <f t="shared" si="15"/>
        <v>-6.8730576141525224E-2</v>
      </c>
      <c r="Q32" s="136">
        <f t="shared" si="15"/>
        <v>6.3791554357591984E-2</v>
      </c>
      <c r="R32" s="136">
        <f t="shared" si="15"/>
        <v>1.5564671814671804E-2</v>
      </c>
      <c r="S32" s="136">
        <f t="shared" si="15"/>
        <v>3.0771058571937848E-2</v>
      </c>
      <c r="T32" s="136">
        <f t="shared" si="15"/>
        <v>-3.7229137851544469E-2</v>
      </c>
      <c r="U32" s="136">
        <f t="shared" si="15"/>
        <v>3.9387046570094508E-2</v>
      </c>
    </row>
    <row r="34" spans="4:21" x14ac:dyDescent="0.25">
      <c r="D34" s="59"/>
      <c r="E34" s="61">
        <v>2025</v>
      </c>
      <c r="F34" s="142" t="s">
        <v>310</v>
      </c>
      <c r="G34" s="61"/>
      <c r="H34" s="61"/>
      <c r="I34" s="61"/>
      <c r="J34" s="61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</row>
    <row r="35" spans="4:21" x14ac:dyDescent="0.25">
      <c r="F35" s="143"/>
    </row>
    <row r="36" spans="4:21" x14ac:dyDescent="0.25">
      <c r="D36" t="str">
        <f>D9</f>
        <v>Number of payment transactions</v>
      </c>
      <c r="E36" s="141">
        <f>SUM(P9:S9)</f>
        <v>25356</v>
      </c>
      <c r="F36" s="144">
        <f>SUM(R9:U9)</f>
        <v>26310</v>
      </c>
      <c r="G36" s="107">
        <f>F36/E36-1</f>
        <v>3.7624230951254223E-2</v>
      </c>
    </row>
    <row r="37" spans="4:21" x14ac:dyDescent="0.25">
      <c r="D37" t="s">
        <v>271</v>
      </c>
      <c r="E37" s="145">
        <f>SUM(P11:S11)</f>
        <v>1793978</v>
      </c>
      <c r="F37" s="146">
        <f>SUM(R11:U11)</f>
        <v>1883626</v>
      </c>
      <c r="G37" s="107">
        <f t="shared" ref="G37:G40" si="16">F37/E37-1</f>
        <v>4.9971627299777444E-2</v>
      </c>
    </row>
    <row r="38" spans="4:21" x14ac:dyDescent="0.25">
      <c r="D38" t="s">
        <v>305</v>
      </c>
      <c r="E38" s="145">
        <f>SUM(P12:S12)</f>
        <v>29798</v>
      </c>
      <c r="F38" s="146">
        <f>SUM(R12:U12)</f>
        <v>30674</v>
      </c>
      <c r="G38" s="107">
        <f t="shared" si="16"/>
        <v>2.9397946170883982E-2</v>
      </c>
    </row>
    <row r="39" spans="4:21" x14ac:dyDescent="0.25">
      <c r="D39" t="str">
        <f>D13</f>
        <v>Revenues from other value added services (OVAS)</v>
      </c>
      <c r="E39" s="145">
        <f>SUM(P13:S13)</f>
        <v>3374</v>
      </c>
      <c r="F39" s="146">
        <f>SUM(R13:U13)</f>
        <v>3454</v>
      </c>
      <c r="G39" s="107">
        <f t="shared" si="16"/>
        <v>2.3710729104919892E-2</v>
      </c>
    </row>
    <row r="40" spans="4:21" x14ac:dyDescent="0.25">
      <c r="D40" t="str">
        <f>D14</f>
        <v>Total net revenues (Transaction rev + OVAS)</v>
      </c>
      <c r="E40" s="145">
        <f>SUM(P14:S14)</f>
        <v>33172</v>
      </c>
      <c r="F40" s="146">
        <f>SUM(R14:U14)</f>
        <v>34128</v>
      </c>
      <c r="G40" s="107">
        <f t="shared" si="16"/>
        <v>2.8819486313758524E-2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O85"/>
  <sheetViews>
    <sheetView zoomScale="80" zoomScaleNormal="80" workbookViewId="0">
      <selection activeCell="G26" sqref="G26"/>
    </sheetView>
  </sheetViews>
  <sheetFormatPr defaultRowHeight="15" x14ac:dyDescent="0.25"/>
  <cols>
    <col min="1" max="1" width="3" customWidth="1"/>
    <col min="2" max="2" width="2" customWidth="1"/>
    <col min="3" max="3" width="66.7109375" bestFit="1" customWidth="1"/>
    <col min="4" max="4" width="15.42578125" bestFit="1" customWidth="1"/>
    <col min="5" max="6" width="21.42578125" bestFit="1" customWidth="1"/>
    <col min="7" max="7" width="14.85546875" bestFit="1" customWidth="1"/>
    <col min="9" max="9" width="25.7109375" bestFit="1" customWidth="1"/>
    <col min="10" max="10" width="34.42578125" bestFit="1" customWidth="1"/>
    <col min="12" max="12" width="16.28515625" bestFit="1" customWidth="1"/>
  </cols>
  <sheetData>
    <row r="1" spans="1:13" x14ac:dyDescent="0.25">
      <c r="A1" s="1"/>
      <c r="B1" s="1"/>
      <c r="C1" s="1"/>
    </row>
    <row r="2" spans="1:13" ht="18" customHeight="1" x14ac:dyDescent="0.25">
      <c r="A2" s="1"/>
      <c r="B2" s="59" t="s">
        <v>217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3" x14ac:dyDescent="0.25">
      <c r="A3" s="1"/>
      <c r="B3" s="59"/>
      <c r="C3" s="59"/>
      <c r="D3" s="59"/>
      <c r="E3" s="59"/>
      <c r="F3" s="59"/>
      <c r="G3" s="59"/>
      <c r="H3" s="59"/>
      <c r="I3" s="59" t="s">
        <v>218</v>
      </c>
      <c r="J3" s="59"/>
      <c r="K3" s="59"/>
      <c r="L3" s="59"/>
      <c r="M3" s="59"/>
    </row>
    <row r="4" spans="1:13" ht="15.75" x14ac:dyDescent="0.25">
      <c r="A4" s="1"/>
      <c r="C4" s="84" t="s">
        <v>196</v>
      </c>
      <c r="D4" s="85">
        <f>61.25</f>
        <v>61.25</v>
      </c>
      <c r="E4" s="84"/>
      <c r="F4" s="84"/>
      <c r="G4" s="84"/>
      <c r="H4" s="84"/>
      <c r="I4" s="59" t="s">
        <v>219</v>
      </c>
      <c r="J4" s="59" t="s">
        <v>220</v>
      </c>
    </row>
    <row r="5" spans="1:13" x14ac:dyDescent="0.25">
      <c r="A5" s="1"/>
      <c r="C5" s="84" t="s">
        <v>221</v>
      </c>
      <c r="D5" s="86">
        <f>855460.874</f>
        <v>855460.87399999995</v>
      </c>
      <c r="E5" s="84"/>
      <c r="F5" s="84"/>
      <c r="G5" s="84"/>
      <c r="H5" s="84"/>
      <c r="I5" s="87" t="s">
        <v>222</v>
      </c>
      <c r="J5" s="88">
        <v>4.0000000000000001E-3</v>
      </c>
    </row>
    <row r="6" spans="1:13" x14ac:dyDescent="0.25">
      <c r="A6" s="1"/>
      <c r="C6" s="116" t="s">
        <v>42</v>
      </c>
      <c r="D6" s="117">
        <f>D4*D5</f>
        <v>52396978.532499999</v>
      </c>
      <c r="E6" s="84"/>
      <c r="F6" s="84"/>
      <c r="G6" s="84"/>
      <c r="H6" s="84"/>
      <c r="I6" s="87" t="s">
        <v>223</v>
      </c>
      <c r="J6" s="88">
        <v>5.4999999999999997E-3</v>
      </c>
    </row>
    <row r="7" spans="1:13" x14ac:dyDescent="0.25">
      <c r="A7" s="1"/>
      <c r="C7" s="84" t="str">
        <f>'Operating Model'!B119</f>
        <v>Cash</v>
      </c>
      <c r="D7" s="90">
        <f>-'Operating Model'!J119</f>
        <v>-8306000</v>
      </c>
      <c r="E7" s="84"/>
      <c r="F7" s="84"/>
      <c r="G7" s="84"/>
      <c r="H7" s="84"/>
      <c r="I7" s="87" t="s">
        <v>224</v>
      </c>
      <c r="J7" s="88">
        <v>7.0000000000000001E-3</v>
      </c>
    </row>
    <row r="8" spans="1:13" x14ac:dyDescent="0.25">
      <c r="A8" s="1"/>
      <c r="C8" s="84" t="str">
        <f>'Operating Model'!B120</f>
        <v>Short term Investments</v>
      </c>
      <c r="D8" s="90">
        <f>-'Operating Model'!J120</f>
        <v>-2950000</v>
      </c>
      <c r="E8" s="84"/>
      <c r="F8" s="84"/>
      <c r="G8" s="84"/>
      <c r="H8" s="84"/>
      <c r="I8" s="87" t="s">
        <v>225</v>
      </c>
      <c r="J8" s="88">
        <v>7.7999999999999996E-3</v>
      </c>
    </row>
    <row r="9" spans="1:13" x14ac:dyDescent="0.25">
      <c r="A9" s="1"/>
      <c r="C9" s="84" t="str">
        <f>'Operating Model'!B125</f>
        <v xml:space="preserve">Long term investments </v>
      </c>
      <c r="D9" s="90">
        <f>-'Operating Model'!J125</f>
        <v>-1823000</v>
      </c>
      <c r="E9" s="84"/>
      <c r="F9" s="84"/>
      <c r="G9" s="84"/>
      <c r="H9" s="84"/>
      <c r="I9" s="87" t="s">
        <v>226</v>
      </c>
      <c r="J9" s="88">
        <v>8.8999999999999999E-3</v>
      </c>
    </row>
    <row r="10" spans="1:13" x14ac:dyDescent="0.25">
      <c r="A10" s="1"/>
      <c r="C10" s="84" t="str">
        <f>'Operating Model'!B134</f>
        <v>Long term debt</v>
      </c>
      <c r="D10" s="90">
        <f>'Operating Model'!J134</f>
        <v>13400000</v>
      </c>
      <c r="E10" s="84"/>
      <c r="F10" s="84"/>
      <c r="G10" s="84"/>
      <c r="H10" s="84"/>
      <c r="I10" s="87" t="s">
        <v>227</v>
      </c>
      <c r="J10" s="88">
        <v>1.11E-2</v>
      </c>
    </row>
    <row r="11" spans="1:13" x14ac:dyDescent="0.25">
      <c r="A11" s="1"/>
      <c r="C11" s="84"/>
      <c r="D11" s="90"/>
      <c r="E11" s="84"/>
      <c r="F11" s="84"/>
      <c r="G11" s="84"/>
      <c r="H11" s="84"/>
      <c r="I11" s="87" t="s">
        <v>228</v>
      </c>
      <c r="J11" s="88">
        <v>1.38E-2</v>
      </c>
    </row>
    <row r="12" spans="1:13" x14ac:dyDescent="0.25">
      <c r="A12" s="1"/>
      <c r="C12" s="116" t="s">
        <v>229</v>
      </c>
      <c r="D12" s="117">
        <f>SUM(D6:D10)</f>
        <v>52717978.532499999</v>
      </c>
      <c r="E12" s="84"/>
      <c r="F12" s="84"/>
      <c r="G12" s="84"/>
      <c r="H12" s="84"/>
      <c r="I12" s="87" t="s">
        <v>230</v>
      </c>
      <c r="J12" s="88">
        <v>1.84E-2</v>
      </c>
    </row>
    <row r="13" spans="1:13" x14ac:dyDescent="0.25">
      <c r="A13" s="1"/>
      <c r="C13" s="84"/>
      <c r="D13" s="89"/>
      <c r="E13" s="84"/>
      <c r="F13" s="84"/>
      <c r="G13" s="84"/>
      <c r="H13" s="84"/>
      <c r="I13" s="87" t="s">
        <v>231</v>
      </c>
      <c r="J13" s="88">
        <v>2.75E-2</v>
      </c>
    </row>
    <row r="14" spans="1:13" x14ac:dyDescent="0.25">
      <c r="A14" s="1"/>
      <c r="C14" s="84" t="s">
        <v>232</v>
      </c>
      <c r="D14" s="91">
        <f>D10+1</f>
        <v>13400001</v>
      </c>
      <c r="E14" s="84"/>
      <c r="F14" s="84"/>
      <c r="G14" s="84"/>
      <c r="H14" s="84"/>
      <c r="I14" s="87" t="s">
        <v>233</v>
      </c>
      <c r="J14" s="88">
        <v>3.2099999999999997E-2</v>
      </c>
    </row>
    <row r="15" spans="1:13" x14ac:dyDescent="0.25">
      <c r="A15" s="1"/>
      <c r="C15" s="84"/>
      <c r="D15" s="84"/>
      <c r="E15" s="84"/>
      <c r="F15" s="84"/>
      <c r="G15" s="84"/>
      <c r="H15" s="84"/>
      <c r="I15" s="87" t="s">
        <v>234</v>
      </c>
      <c r="J15" s="88">
        <v>5.0900000000000001E-2</v>
      </c>
    </row>
    <row r="16" spans="1:13" ht="15.75" x14ac:dyDescent="0.25">
      <c r="A16" s="1"/>
      <c r="C16" s="84" t="s">
        <v>235</v>
      </c>
      <c r="D16" s="92">
        <v>4.675E-2</v>
      </c>
      <c r="E16" s="84"/>
      <c r="F16" s="84"/>
      <c r="G16" s="84"/>
      <c r="H16" s="84"/>
      <c r="I16" s="87" t="s">
        <v>236</v>
      </c>
      <c r="J16" s="88">
        <v>8.8499999999999995E-2</v>
      </c>
    </row>
    <row r="17" spans="1:10" ht="15.75" x14ac:dyDescent="0.25">
      <c r="A17" s="1"/>
      <c r="C17" s="84" t="s">
        <v>237</v>
      </c>
      <c r="D17" s="92">
        <v>2.3E-3</v>
      </c>
      <c r="E17" s="84"/>
      <c r="F17" s="84"/>
      <c r="G17" s="84"/>
      <c r="H17" s="84"/>
      <c r="I17" s="87" t="s">
        <v>238</v>
      </c>
      <c r="J17" s="88">
        <v>0.12609999999999999</v>
      </c>
    </row>
    <row r="18" spans="1:10" x14ac:dyDescent="0.25">
      <c r="C18" s="93" t="s">
        <v>239</v>
      </c>
      <c r="D18" s="94">
        <f>D16-D17</f>
        <v>4.4450000000000003E-2</v>
      </c>
      <c r="E18" s="84"/>
      <c r="F18" s="84"/>
      <c r="G18" s="84"/>
      <c r="H18" s="84"/>
      <c r="I18" s="87" t="s">
        <v>240</v>
      </c>
      <c r="J18" s="95">
        <v>0.16</v>
      </c>
    </row>
    <row r="19" spans="1:10" x14ac:dyDescent="0.25">
      <c r="C19" s="84"/>
      <c r="D19" s="84"/>
      <c r="E19" s="84"/>
      <c r="F19" s="84"/>
      <c r="G19" s="84"/>
      <c r="H19" s="84"/>
      <c r="I19" s="87" t="s">
        <v>241</v>
      </c>
      <c r="J19" s="95">
        <v>0.19</v>
      </c>
    </row>
    <row r="20" spans="1:10" ht="15.75" x14ac:dyDescent="0.25">
      <c r="C20" s="84" t="s">
        <v>242</v>
      </c>
      <c r="D20" s="85">
        <v>1</v>
      </c>
      <c r="E20" s="84"/>
      <c r="F20" s="84"/>
      <c r="G20" s="84"/>
      <c r="H20" s="84"/>
      <c r="J20" s="96"/>
    </row>
    <row r="21" spans="1:10" ht="15.75" x14ac:dyDescent="0.25">
      <c r="C21" s="84" t="s">
        <v>243</v>
      </c>
      <c r="D21" s="92">
        <v>2.3E-3</v>
      </c>
      <c r="E21" s="84"/>
      <c r="F21" s="84"/>
      <c r="G21" s="84"/>
      <c r="H21" s="84"/>
      <c r="I21" s="84"/>
      <c r="J21" s="84"/>
    </row>
    <row r="22" spans="1:10" ht="15.75" x14ac:dyDescent="0.25">
      <c r="C22" s="84" t="s">
        <v>244</v>
      </c>
      <c r="D22" s="92">
        <v>4.2299999999999997E-2</v>
      </c>
      <c r="E22" s="84"/>
      <c r="F22" s="84"/>
      <c r="G22" s="84"/>
      <c r="H22" s="84"/>
      <c r="I22" s="84" t="s">
        <v>1</v>
      </c>
      <c r="J22" s="90">
        <f>'Operating Model'!I63</f>
        <v>6065000</v>
      </c>
    </row>
    <row r="23" spans="1:10" x14ac:dyDescent="0.25">
      <c r="C23" s="93" t="s">
        <v>245</v>
      </c>
      <c r="D23" s="94">
        <f>D22+(D20*D21)</f>
        <v>4.4600000000000001E-2</v>
      </c>
      <c r="E23" s="84"/>
      <c r="F23" s="84"/>
      <c r="G23" s="84"/>
      <c r="H23" s="84"/>
      <c r="I23" s="84" t="s">
        <v>246</v>
      </c>
      <c r="J23" s="86">
        <f>441000</f>
        <v>441000</v>
      </c>
    </row>
    <row r="24" spans="1:10" ht="15.75" x14ac:dyDescent="0.25">
      <c r="C24" s="84"/>
      <c r="D24" s="92"/>
      <c r="E24" s="84"/>
      <c r="F24" s="84"/>
      <c r="G24" s="84"/>
      <c r="H24" s="84"/>
      <c r="I24" s="93" t="s">
        <v>247</v>
      </c>
      <c r="J24" s="97">
        <f>J22/J23</f>
        <v>13.752834467120181</v>
      </c>
    </row>
    <row r="25" spans="1:10" x14ac:dyDescent="0.25">
      <c r="C25" s="84" t="s">
        <v>248</v>
      </c>
      <c r="D25" s="98">
        <f>D14/D6</f>
        <v>0.25573995629706875</v>
      </c>
      <c r="E25" s="84"/>
      <c r="F25" s="84"/>
      <c r="G25" s="84"/>
      <c r="H25" s="84"/>
      <c r="I25" s="84"/>
      <c r="J25" s="84"/>
    </row>
    <row r="26" spans="1:10" ht="15.75" x14ac:dyDescent="0.25">
      <c r="C26" s="99" t="s">
        <v>249</v>
      </c>
      <c r="D26" s="98">
        <f>AVERAGE(L44:L85)</f>
        <v>0.77868834269808607</v>
      </c>
      <c r="E26" s="84"/>
      <c r="F26" s="84"/>
      <c r="G26" s="84"/>
      <c r="H26" s="84"/>
      <c r="I26" s="84"/>
      <c r="J26" s="84"/>
    </row>
    <row r="27" spans="1:10" x14ac:dyDescent="0.25">
      <c r="C27" s="84" t="s">
        <v>270</v>
      </c>
      <c r="D27" s="100">
        <v>0.32</v>
      </c>
      <c r="E27" s="84"/>
      <c r="F27" s="84"/>
      <c r="G27" s="84"/>
      <c r="H27" s="84"/>
      <c r="I27" s="101" t="s">
        <v>250</v>
      </c>
      <c r="J27" s="102">
        <f>J5</f>
        <v>4.0000000000000001E-3</v>
      </c>
    </row>
    <row r="28" spans="1:10" x14ac:dyDescent="0.25">
      <c r="C28" s="84"/>
      <c r="D28" s="103"/>
      <c r="E28" s="84"/>
      <c r="F28" s="84"/>
      <c r="G28" s="84"/>
      <c r="H28" s="84"/>
    </row>
    <row r="29" spans="1:10" x14ac:dyDescent="0.25">
      <c r="C29" s="84" t="s">
        <v>251</v>
      </c>
      <c r="D29" s="104" t="b">
        <v>0</v>
      </c>
      <c r="E29" s="84"/>
      <c r="F29" s="84"/>
      <c r="G29" s="84"/>
      <c r="H29" s="84"/>
    </row>
    <row r="30" spans="1:10" x14ac:dyDescent="0.25">
      <c r="C30" s="84" t="s">
        <v>252</v>
      </c>
      <c r="D30" s="98">
        <f>IF(D29,D27,D26)</f>
        <v>0.77868834269808607</v>
      </c>
      <c r="E30" s="84"/>
      <c r="F30" s="84"/>
      <c r="G30" s="84"/>
      <c r="H30" s="84"/>
      <c r="I30" s="84"/>
      <c r="J30" s="84"/>
    </row>
    <row r="31" spans="1:10" ht="15.75" x14ac:dyDescent="0.25">
      <c r="C31" s="105" t="s">
        <v>253</v>
      </c>
      <c r="D31" s="106">
        <v>0.21</v>
      </c>
      <c r="E31" s="84"/>
      <c r="F31" s="84"/>
      <c r="G31" s="84"/>
      <c r="H31" s="84"/>
      <c r="I31" s="84"/>
      <c r="J31" s="84"/>
    </row>
    <row r="32" spans="1:10" x14ac:dyDescent="0.25">
      <c r="C32" s="84" t="s">
        <v>254</v>
      </c>
      <c r="D32" s="98">
        <f>D30*(1+(1-D31)*D25)</f>
        <v>0.93601030365529592</v>
      </c>
      <c r="E32" s="84"/>
      <c r="F32" s="84"/>
      <c r="G32" s="84"/>
      <c r="H32" s="84"/>
      <c r="I32" s="101"/>
      <c r="J32" s="102"/>
    </row>
    <row r="33" spans="3:15" x14ac:dyDescent="0.25">
      <c r="C33" s="84"/>
      <c r="E33" s="84"/>
      <c r="F33" s="84"/>
      <c r="G33" s="84"/>
      <c r="H33" s="84"/>
      <c r="I33" s="84"/>
      <c r="J33" s="84"/>
    </row>
    <row r="34" spans="3:15" x14ac:dyDescent="0.25">
      <c r="C34" s="84" t="s">
        <v>195</v>
      </c>
      <c r="D34" s="107">
        <f>D18+D32*(D23)</f>
        <v>8.6196059543026199E-2</v>
      </c>
      <c r="E34" s="84"/>
      <c r="F34" s="84"/>
      <c r="G34" s="84"/>
      <c r="H34" s="84"/>
      <c r="I34" s="84"/>
      <c r="J34" s="84"/>
    </row>
    <row r="35" spans="3:15" x14ac:dyDescent="0.25">
      <c r="C35" s="84" t="s">
        <v>255</v>
      </c>
      <c r="D35" s="104" t="b">
        <v>0</v>
      </c>
      <c r="E35" s="84"/>
      <c r="F35" s="84"/>
      <c r="G35" s="84"/>
      <c r="H35" s="84"/>
      <c r="I35" s="84"/>
      <c r="J35" s="84"/>
    </row>
    <row r="36" spans="3:15" ht="15.75" x14ac:dyDescent="0.25">
      <c r="C36" s="101" t="s">
        <v>256</v>
      </c>
      <c r="D36" s="106">
        <f>4.504072%</f>
        <v>4.5040719999999999E-2</v>
      </c>
      <c r="E36" s="84"/>
      <c r="H36" s="84"/>
      <c r="I36" s="84"/>
      <c r="J36" s="84"/>
    </row>
    <row r="37" spans="3:15" x14ac:dyDescent="0.25">
      <c r="C37" s="101" t="s">
        <v>257</v>
      </c>
      <c r="D37" s="109">
        <f>D18+J27</f>
        <v>4.8450000000000007E-2</v>
      </c>
      <c r="E37" s="84"/>
      <c r="F37" s="108"/>
      <c r="G37" s="108"/>
      <c r="H37" s="84"/>
      <c r="I37" s="84"/>
      <c r="J37" s="84"/>
    </row>
    <row r="38" spans="3:15" x14ac:dyDescent="0.25">
      <c r="C38" s="101" t="s">
        <v>258</v>
      </c>
      <c r="D38" s="109">
        <f>IF(D35,D37,D36)</f>
        <v>4.5040719999999999E-2</v>
      </c>
      <c r="E38" s="84"/>
      <c r="F38" s="84"/>
      <c r="G38" s="84"/>
      <c r="H38" s="84"/>
      <c r="I38" s="84"/>
      <c r="J38" s="84"/>
    </row>
    <row r="39" spans="3:15" x14ac:dyDescent="0.25">
      <c r="C39" s="101"/>
      <c r="D39" s="109"/>
      <c r="E39" s="84"/>
      <c r="F39" s="84"/>
      <c r="G39" s="84"/>
      <c r="H39" s="84"/>
      <c r="I39" s="84"/>
      <c r="J39" s="84"/>
    </row>
    <row r="40" spans="3:15" ht="15.75" x14ac:dyDescent="0.25">
      <c r="C40" s="110" t="s">
        <v>28</v>
      </c>
      <c r="D40" s="111">
        <f>D34*(D6/(D6+D14))+D38*(D14/(D6+D14)*(1-D31))</f>
        <v>7.5888197519733219E-2</v>
      </c>
      <c r="E40" s="84"/>
      <c r="F40" s="84"/>
      <c r="G40" s="84"/>
      <c r="H40" s="84"/>
      <c r="I40" s="84"/>
      <c r="J40" s="84"/>
    </row>
    <row r="42" spans="3:15" x14ac:dyDescent="0.25">
      <c r="C42" s="212" t="s">
        <v>460</v>
      </c>
    </row>
    <row r="43" spans="3:15" s="96" customFormat="1" x14ac:dyDescent="0.25">
      <c r="C43" s="177" t="s">
        <v>433</v>
      </c>
      <c r="D43" s="177" t="s">
        <v>432</v>
      </c>
      <c r="E43" s="177" t="s">
        <v>431</v>
      </c>
      <c r="F43" s="177" t="s">
        <v>430</v>
      </c>
      <c r="G43" s="177" t="s">
        <v>248</v>
      </c>
      <c r="H43" s="177" t="s">
        <v>429</v>
      </c>
      <c r="I43" s="177" t="s">
        <v>428</v>
      </c>
      <c r="J43" s="177" t="s">
        <v>427</v>
      </c>
      <c r="K43" s="177" t="s">
        <v>253</v>
      </c>
      <c r="L43" s="177" t="s">
        <v>434</v>
      </c>
      <c r="M43" s="177"/>
      <c r="N43" s="177"/>
      <c r="O43" s="177"/>
    </row>
    <row r="44" spans="3:15" ht="15.75" x14ac:dyDescent="0.25">
      <c r="C44" t="s">
        <v>426</v>
      </c>
      <c r="D44" t="s">
        <v>425</v>
      </c>
      <c r="E44" s="86">
        <v>29788274163712</v>
      </c>
      <c r="F44" s="86">
        <v>27790728495104</v>
      </c>
      <c r="G44" s="98">
        <f>F44/E44</f>
        <v>0.93294187982728438</v>
      </c>
      <c r="H44" s="178">
        <v>1.002</v>
      </c>
      <c r="I44" t="s">
        <v>424</v>
      </c>
      <c r="J44" t="s">
        <v>423</v>
      </c>
      <c r="K44" s="106">
        <v>0.3</v>
      </c>
      <c r="L44" s="98">
        <f>H44/(1+(1-K44)*G44)</f>
        <v>0.60614884800255042</v>
      </c>
    </row>
    <row r="45" spans="3:15" ht="15.75" x14ac:dyDescent="0.25">
      <c r="C45" t="s">
        <v>422</v>
      </c>
      <c r="D45" t="s">
        <v>421</v>
      </c>
      <c r="E45" s="86">
        <v>4215903354880</v>
      </c>
      <c r="F45" s="86">
        <v>120790999040</v>
      </c>
      <c r="G45" s="98">
        <f t="shared" ref="G45:G85" si="0">F45/E45</f>
        <v>2.8651273255631389E-2</v>
      </c>
      <c r="H45" s="178">
        <v>1.002</v>
      </c>
      <c r="I45" t="s">
        <v>322</v>
      </c>
      <c r="J45" t="s">
        <v>418</v>
      </c>
      <c r="K45" s="106">
        <v>0.21</v>
      </c>
      <c r="L45" s="98">
        <f t="shared" ref="L45:L85" si="1">H45/(1+(1-K45)*G45)</f>
        <v>0.97982220846894386</v>
      </c>
    </row>
    <row r="46" spans="3:15" ht="15.75" x14ac:dyDescent="0.25">
      <c r="C46" t="s">
        <v>420</v>
      </c>
      <c r="D46" t="s">
        <v>419</v>
      </c>
      <c r="E46" s="86">
        <v>4029966188544</v>
      </c>
      <c r="F46" s="86">
        <v>471828004864</v>
      </c>
      <c r="G46" s="98">
        <f t="shared" si="0"/>
        <v>0.11707989168873606</v>
      </c>
      <c r="H46" s="178">
        <v>1.002</v>
      </c>
      <c r="I46" t="s">
        <v>413</v>
      </c>
      <c r="J46" t="s">
        <v>418</v>
      </c>
      <c r="K46" s="106">
        <v>0.25</v>
      </c>
      <c r="L46" s="98">
        <f t="shared" si="1"/>
        <v>0.92111680792187456</v>
      </c>
    </row>
    <row r="47" spans="3:15" ht="15.75" x14ac:dyDescent="0.25">
      <c r="C47" t="s">
        <v>417</v>
      </c>
      <c r="D47" t="s">
        <v>416</v>
      </c>
      <c r="E47" s="86">
        <v>2867433570304</v>
      </c>
      <c r="F47" s="86">
        <v>251635007488</v>
      </c>
      <c r="G47" s="98">
        <f t="shared" si="0"/>
        <v>8.7756176845387959E-2</v>
      </c>
      <c r="H47" s="178">
        <v>1.002</v>
      </c>
      <c r="I47" t="s">
        <v>322</v>
      </c>
      <c r="J47" t="s">
        <v>396</v>
      </c>
      <c r="K47" s="106">
        <v>0.21</v>
      </c>
      <c r="L47" s="98">
        <f t="shared" si="1"/>
        <v>0.93703763600792633</v>
      </c>
    </row>
    <row r="48" spans="3:15" ht="15.75" x14ac:dyDescent="0.25">
      <c r="C48" t="s">
        <v>415</v>
      </c>
      <c r="D48" t="s">
        <v>414</v>
      </c>
      <c r="E48" s="86">
        <v>2381533675520</v>
      </c>
      <c r="F48" s="86">
        <v>281721995264</v>
      </c>
      <c r="G48" s="98">
        <f t="shared" si="0"/>
        <v>0.11829435718665071</v>
      </c>
      <c r="H48" s="178">
        <v>1.002</v>
      </c>
      <c r="I48" t="s">
        <v>413</v>
      </c>
      <c r="J48" t="s">
        <v>396</v>
      </c>
      <c r="K48" s="106">
        <v>0.25</v>
      </c>
      <c r="L48" s="98">
        <f t="shared" si="1"/>
        <v>0.92034618017064329</v>
      </c>
    </row>
    <row r="49" spans="3:12" ht="15.75" x14ac:dyDescent="0.25">
      <c r="C49" t="s">
        <v>412</v>
      </c>
      <c r="D49" t="s">
        <v>411</v>
      </c>
      <c r="E49" s="86">
        <v>1015234297856</v>
      </c>
      <c r="F49" s="86">
        <v>1720000000</v>
      </c>
      <c r="G49" s="98">
        <f t="shared" si="0"/>
        <v>1.694190201840446E-3</v>
      </c>
      <c r="H49" s="178">
        <v>1.002</v>
      </c>
      <c r="I49" t="s">
        <v>410</v>
      </c>
      <c r="J49" t="s">
        <v>325</v>
      </c>
      <c r="K49" s="106">
        <v>0.25</v>
      </c>
      <c r="L49" s="98">
        <f t="shared" si="1"/>
        <v>1.0007284317721412</v>
      </c>
    </row>
    <row r="50" spans="3:12" ht="15.75" x14ac:dyDescent="0.25">
      <c r="C50" t="s">
        <v>409</v>
      </c>
      <c r="D50" t="s">
        <v>408</v>
      </c>
      <c r="E50" s="86">
        <v>682480500736</v>
      </c>
      <c r="F50" s="86">
        <v>23857999872</v>
      </c>
      <c r="G50" s="98">
        <f t="shared" si="0"/>
        <v>3.4957775125107719E-2</v>
      </c>
      <c r="H50" s="178">
        <v>1.002</v>
      </c>
      <c r="I50" t="s">
        <v>322</v>
      </c>
      <c r="J50" t="s">
        <v>333</v>
      </c>
      <c r="K50" s="106">
        <v>0.21</v>
      </c>
      <c r="L50" s="98">
        <f t="shared" si="1"/>
        <v>0.97507179108127051</v>
      </c>
    </row>
    <row r="51" spans="3:12" ht="15.75" x14ac:dyDescent="0.25">
      <c r="C51" t="s">
        <v>407</v>
      </c>
      <c r="D51" t="s">
        <v>406</v>
      </c>
      <c r="E51" s="86">
        <v>502584377344</v>
      </c>
      <c r="F51" s="86">
        <v>24643000320</v>
      </c>
      <c r="G51" s="98">
        <f t="shared" si="0"/>
        <v>4.9032563348328666E-2</v>
      </c>
      <c r="H51" s="178">
        <v>1.002</v>
      </c>
      <c r="I51" t="s">
        <v>322</v>
      </c>
      <c r="J51" t="s">
        <v>333</v>
      </c>
      <c r="K51" s="106">
        <v>0.21</v>
      </c>
      <c r="L51" s="98">
        <f t="shared" si="1"/>
        <v>0.96463419505131409</v>
      </c>
    </row>
    <row r="52" spans="3:12" ht="15.75" x14ac:dyDescent="0.25">
      <c r="C52" t="s">
        <v>405</v>
      </c>
      <c r="D52" t="s">
        <v>404</v>
      </c>
      <c r="E52" s="86">
        <v>229537808384</v>
      </c>
      <c r="F52" s="86">
        <v>59092000768</v>
      </c>
      <c r="G52" s="98">
        <f t="shared" si="0"/>
        <v>0.2574390736934431</v>
      </c>
      <c r="H52" s="178">
        <v>1.002</v>
      </c>
      <c r="I52" t="s">
        <v>322</v>
      </c>
      <c r="J52" t="s">
        <v>333</v>
      </c>
      <c r="K52" s="106">
        <v>0.21</v>
      </c>
      <c r="L52" s="98">
        <f t="shared" si="1"/>
        <v>0.8326568562714225</v>
      </c>
    </row>
    <row r="53" spans="3:12" ht="15.75" x14ac:dyDescent="0.25">
      <c r="C53" t="s">
        <v>403</v>
      </c>
      <c r="D53" t="s">
        <v>402</v>
      </c>
      <c r="E53" s="86">
        <v>110129176576</v>
      </c>
      <c r="F53" s="86">
        <v>5514699776</v>
      </c>
      <c r="G53" s="98">
        <f t="shared" si="0"/>
        <v>5.0074829826720013E-2</v>
      </c>
      <c r="H53" s="178">
        <v>1.002</v>
      </c>
      <c r="I53" t="s">
        <v>322</v>
      </c>
      <c r="J53" t="s">
        <v>354</v>
      </c>
      <c r="K53" s="106">
        <v>0.21</v>
      </c>
      <c r="L53" s="98">
        <f t="shared" si="1"/>
        <v>0.96387014937311788</v>
      </c>
    </row>
    <row r="54" spans="3:12" ht="15.75" x14ac:dyDescent="0.25">
      <c r="C54" t="s">
        <v>401</v>
      </c>
      <c r="D54" t="s">
        <v>400</v>
      </c>
      <c r="E54" s="86">
        <v>86105112576</v>
      </c>
      <c r="F54" s="86">
        <v>22925000704</v>
      </c>
      <c r="G54" s="98">
        <f t="shared" si="0"/>
        <v>0.26624436131786516</v>
      </c>
      <c r="H54" s="178">
        <v>1.002</v>
      </c>
      <c r="I54" t="s">
        <v>322</v>
      </c>
      <c r="J54" t="s">
        <v>399</v>
      </c>
      <c r="K54" s="106">
        <v>0.21</v>
      </c>
      <c r="L54" s="98">
        <f t="shared" si="1"/>
        <v>0.8278713068061484</v>
      </c>
    </row>
    <row r="55" spans="3:12" ht="15.75" x14ac:dyDescent="0.25">
      <c r="C55" t="s">
        <v>398</v>
      </c>
      <c r="D55" t="s">
        <v>397</v>
      </c>
      <c r="E55" s="86">
        <v>72946909184</v>
      </c>
      <c r="F55" s="86">
        <v>4126482944</v>
      </c>
      <c r="G55" s="98">
        <f t="shared" si="0"/>
        <v>5.6568304129122622E-2</v>
      </c>
      <c r="H55" s="178">
        <v>1.002</v>
      </c>
      <c r="I55" t="s">
        <v>374</v>
      </c>
      <c r="J55" t="s">
        <v>396</v>
      </c>
      <c r="K55" s="106">
        <v>0.17</v>
      </c>
      <c r="L55" s="98">
        <f t="shared" si="1"/>
        <v>0.95706421532882835</v>
      </c>
    </row>
    <row r="56" spans="3:12" ht="15.75" x14ac:dyDescent="0.25">
      <c r="C56" t="s">
        <v>395</v>
      </c>
      <c r="D56" t="s">
        <v>394</v>
      </c>
      <c r="E56" s="86">
        <v>70576357376</v>
      </c>
      <c r="F56" s="86">
        <v>5896687104</v>
      </c>
      <c r="G56" s="98">
        <f t="shared" si="0"/>
        <v>8.3550459718189016E-2</v>
      </c>
      <c r="H56" s="178">
        <v>1.002</v>
      </c>
      <c r="I56" t="s">
        <v>338</v>
      </c>
      <c r="J56" t="s">
        <v>393</v>
      </c>
      <c r="K56" s="106">
        <v>0.34</v>
      </c>
      <c r="L56" s="98">
        <f t="shared" si="1"/>
        <v>0.94963404189548928</v>
      </c>
    </row>
    <row r="57" spans="3:12" ht="15.75" x14ac:dyDescent="0.25">
      <c r="C57" t="s">
        <v>392</v>
      </c>
      <c r="D57" t="s">
        <v>391</v>
      </c>
      <c r="E57" s="86">
        <v>42266673152</v>
      </c>
      <c r="F57" s="86">
        <v>6668290048</v>
      </c>
      <c r="G57" s="98">
        <f t="shared" si="0"/>
        <v>0.15776709049277199</v>
      </c>
      <c r="H57" s="178">
        <v>1.002</v>
      </c>
      <c r="I57" t="s">
        <v>322</v>
      </c>
      <c r="J57" t="s">
        <v>390</v>
      </c>
      <c r="K57" s="106">
        <v>0.21</v>
      </c>
      <c r="L57" s="98">
        <f t="shared" si="1"/>
        <v>0.89095493890744204</v>
      </c>
    </row>
    <row r="58" spans="3:12" ht="15.75" x14ac:dyDescent="0.25">
      <c r="C58" t="s">
        <v>389</v>
      </c>
      <c r="D58" t="s">
        <v>388</v>
      </c>
      <c r="E58" s="86">
        <v>33290215424</v>
      </c>
      <c r="F58" s="86">
        <v>409363008</v>
      </c>
      <c r="G58" s="98">
        <f t="shared" si="0"/>
        <v>1.2296796604832929E-2</v>
      </c>
      <c r="H58" s="178">
        <v>1.002</v>
      </c>
      <c r="I58" t="s">
        <v>387</v>
      </c>
      <c r="J58" t="s">
        <v>325</v>
      </c>
      <c r="K58" s="106">
        <v>0.25</v>
      </c>
      <c r="L58" s="98">
        <f t="shared" si="1"/>
        <v>0.99284340494173628</v>
      </c>
    </row>
    <row r="59" spans="3:12" ht="15.75" x14ac:dyDescent="0.25">
      <c r="C59" t="s">
        <v>386</v>
      </c>
      <c r="D59" t="s">
        <v>385</v>
      </c>
      <c r="E59" s="86">
        <v>26728708096</v>
      </c>
      <c r="F59" s="86">
        <v>10741731328</v>
      </c>
      <c r="G59" s="98">
        <f t="shared" si="0"/>
        <v>0.40187992960301439</v>
      </c>
      <c r="H59" s="178">
        <v>1.002</v>
      </c>
      <c r="I59" t="s">
        <v>322</v>
      </c>
      <c r="J59" t="s">
        <v>325</v>
      </c>
      <c r="K59" s="106">
        <v>0.21</v>
      </c>
      <c r="L59" s="98">
        <f t="shared" si="1"/>
        <v>0.76053988484756807</v>
      </c>
    </row>
    <row r="60" spans="3:12" ht="15.75" x14ac:dyDescent="0.25">
      <c r="C60" t="s">
        <v>384</v>
      </c>
      <c r="D60" t="s">
        <v>383</v>
      </c>
      <c r="E60" s="86">
        <v>25906028544</v>
      </c>
      <c r="F60" s="86">
        <v>16432000000</v>
      </c>
      <c r="G60" s="98">
        <f t="shared" si="0"/>
        <v>0.6342925150449491</v>
      </c>
      <c r="H60" s="178">
        <v>1.002</v>
      </c>
      <c r="I60" t="s">
        <v>322</v>
      </c>
      <c r="J60" t="s">
        <v>333</v>
      </c>
      <c r="K60" s="106">
        <v>0.21</v>
      </c>
      <c r="L60" s="98">
        <f t="shared" si="1"/>
        <v>0.6675144558209104</v>
      </c>
    </row>
    <row r="61" spans="3:12" ht="15.75" x14ac:dyDescent="0.25">
      <c r="C61" t="s">
        <v>382</v>
      </c>
      <c r="D61" t="s">
        <v>381</v>
      </c>
      <c r="E61" s="86">
        <v>25897705472</v>
      </c>
      <c r="F61" s="86">
        <v>9090749440</v>
      </c>
      <c r="G61" s="98">
        <f t="shared" si="0"/>
        <v>0.35102528483956652</v>
      </c>
      <c r="H61" s="178">
        <v>1.002</v>
      </c>
      <c r="I61" t="s">
        <v>322</v>
      </c>
      <c r="J61" t="s">
        <v>333</v>
      </c>
      <c r="K61" s="106">
        <v>0.21</v>
      </c>
      <c r="L61" s="98">
        <f t="shared" si="1"/>
        <v>0.78446110935738633</v>
      </c>
    </row>
    <row r="62" spans="3:12" ht="15.75" x14ac:dyDescent="0.25">
      <c r="C62" t="s">
        <v>380</v>
      </c>
      <c r="D62" t="s">
        <v>379</v>
      </c>
      <c r="E62" s="86">
        <v>23790725120</v>
      </c>
      <c r="F62" s="86">
        <v>3415378944</v>
      </c>
      <c r="G62" s="98">
        <f t="shared" si="0"/>
        <v>0.14355926213988388</v>
      </c>
      <c r="H62" s="178">
        <v>1.002</v>
      </c>
      <c r="I62" t="s">
        <v>322</v>
      </c>
      <c r="J62" t="s">
        <v>333</v>
      </c>
      <c r="K62" s="106">
        <v>0.21</v>
      </c>
      <c r="L62" s="98">
        <f t="shared" si="1"/>
        <v>0.89993655951879326</v>
      </c>
    </row>
    <row r="63" spans="3:12" ht="15.75" x14ac:dyDescent="0.25">
      <c r="C63" t="s">
        <v>378</v>
      </c>
      <c r="D63" t="s">
        <v>377</v>
      </c>
      <c r="E63" s="86">
        <v>21016305664</v>
      </c>
      <c r="F63" s="86">
        <v>21255999488</v>
      </c>
      <c r="G63" s="98">
        <f t="shared" si="0"/>
        <v>1.0114051359849883</v>
      </c>
      <c r="H63" s="178">
        <v>1.002</v>
      </c>
      <c r="I63" t="s">
        <v>322</v>
      </c>
      <c r="J63" t="s">
        <v>366</v>
      </c>
      <c r="K63" s="106">
        <v>0.21</v>
      </c>
      <c r="L63" s="98">
        <f t="shared" si="1"/>
        <v>0.55697298403793027</v>
      </c>
    </row>
    <row r="64" spans="3:12" ht="15.75" x14ac:dyDescent="0.25">
      <c r="C64" t="s">
        <v>376</v>
      </c>
      <c r="D64" t="s">
        <v>375</v>
      </c>
      <c r="E64" s="86">
        <v>14483208192</v>
      </c>
      <c r="F64" s="86">
        <v>2032999936</v>
      </c>
      <c r="G64" s="98">
        <f t="shared" si="0"/>
        <v>0.14036944778042723</v>
      </c>
      <c r="H64" s="178">
        <v>1.002</v>
      </c>
      <c r="I64" t="s">
        <v>374</v>
      </c>
      <c r="J64" t="s">
        <v>354</v>
      </c>
      <c r="K64" s="106">
        <v>0.17</v>
      </c>
      <c r="L64" s="98">
        <f t="shared" si="1"/>
        <v>0.89744204164541397</v>
      </c>
    </row>
    <row r="65" spans="3:12" ht="15.75" x14ac:dyDescent="0.25">
      <c r="C65" t="s">
        <v>373</v>
      </c>
      <c r="D65" t="s">
        <v>372</v>
      </c>
      <c r="E65" s="86">
        <v>13114048512</v>
      </c>
      <c r="F65" s="86">
        <v>23082999808</v>
      </c>
      <c r="G65" s="98">
        <f t="shared" si="0"/>
        <v>1.7601734343805362</v>
      </c>
      <c r="H65" s="178">
        <v>1.002</v>
      </c>
      <c r="I65" t="s">
        <v>322</v>
      </c>
      <c r="J65" t="s">
        <v>333</v>
      </c>
      <c r="K65" s="106">
        <v>0.21</v>
      </c>
      <c r="L65" s="98">
        <f t="shared" si="1"/>
        <v>0.41915268179647053</v>
      </c>
    </row>
    <row r="66" spans="3:12" ht="15.75" x14ac:dyDescent="0.25">
      <c r="C66" t="s">
        <v>371</v>
      </c>
      <c r="D66" t="s">
        <v>370</v>
      </c>
      <c r="E66" s="86">
        <v>11585541120</v>
      </c>
      <c r="F66" s="86">
        <v>136587008</v>
      </c>
      <c r="G66" s="98">
        <f t="shared" si="0"/>
        <v>1.1789437073785984E-2</v>
      </c>
      <c r="H66" s="178">
        <v>1.002</v>
      </c>
      <c r="I66" t="s">
        <v>322</v>
      </c>
      <c r="J66" t="s">
        <v>366</v>
      </c>
      <c r="K66" s="106">
        <v>0.21</v>
      </c>
      <c r="L66" s="98">
        <f t="shared" si="1"/>
        <v>0.99275383301318576</v>
      </c>
    </row>
    <row r="67" spans="3:12" ht="15.75" x14ac:dyDescent="0.25">
      <c r="C67" t="s">
        <v>369</v>
      </c>
      <c r="D67" t="s">
        <v>368</v>
      </c>
      <c r="E67" s="86">
        <v>9178195968</v>
      </c>
      <c r="F67" s="86">
        <v>483700000</v>
      </c>
      <c r="G67" s="98">
        <f t="shared" si="0"/>
        <v>5.2700988482533129E-2</v>
      </c>
      <c r="H67" s="178">
        <v>1.002</v>
      </c>
      <c r="I67" t="s">
        <v>367</v>
      </c>
      <c r="J67" t="s">
        <v>366</v>
      </c>
      <c r="K67" s="106">
        <v>0.25</v>
      </c>
      <c r="L67" s="98">
        <f t="shared" si="1"/>
        <v>0.96390109463500462</v>
      </c>
    </row>
    <row r="68" spans="3:12" ht="15.75" x14ac:dyDescent="0.25">
      <c r="C68" t="s">
        <v>365</v>
      </c>
      <c r="D68" t="s">
        <v>364</v>
      </c>
      <c r="E68" s="86">
        <v>6660228608</v>
      </c>
      <c r="F68" s="86">
        <v>5357199872</v>
      </c>
      <c r="G68" s="98">
        <f t="shared" si="0"/>
        <v>0.80435675519683303</v>
      </c>
      <c r="H68" s="178">
        <v>1.002</v>
      </c>
      <c r="I68" t="s">
        <v>322</v>
      </c>
      <c r="J68" t="s">
        <v>325</v>
      </c>
      <c r="K68" s="106">
        <v>0.21</v>
      </c>
      <c r="L68" s="98">
        <f t="shared" si="1"/>
        <v>0.61267846863923836</v>
      </c>
    </row>
    <row r="69" spans="3:12" ht="15.75" x14ac:dyDescent="0.25">
      <c r="C69" t="s">
        <v>363</v>
      </c>
      <c r="D69" t="s">
        <v>362</v>
      </c>
      <c r="E69" s="86">
        <v>5304802304</v>
      </c>
      <c r="F69" s="86">
        <v>38264000</v>
      </c>
      <c r="G69" s="98">
        <f t="shared" si="0"/>
        <v>7.2130868988553361E-3</v>
      </c>
      <c r="H69" s="178">
        <v>1.002</v>
      </c>
      <c r="I69" t="s">
        <v>322</v>
      </c>
      <c r="J69" t="s">
        <v>325</v>
      </c>
      <c r="K69" s="106">
        <v>0.21</v>
      </c>
      <c r="L69" s="98">
        <f t="shared" si="1"/>
        <v>0.99632261632741703</v>
      </c>
    </row>
    <row r="70" spans="3:12" ht="15.75" x14ac:dyDescent="0.25">
      <c r="C70" t="s">
        <v>361</v>
      </c>
      <c r="D70" t="s">
        <v>360</v>
      </c>
      <c r="E70" s="86">
        <v>4983431680</v>
      </c>
      <c r="F70" s="86">
        <v>10390000</v>
      </c>
      <c r="G70" s="98">
        <f t="shared" si="0"/>
        <v>2.0849086868589316E-3</v>
      </c>
      <c r="H70" s="178">
        <v>1.002</v>
      </c>
      <c r="I70" t="s">
        <v>322</v>
      </c>
      <c r="J70" t="s">
        <v>325</v>
      </c>
      <c r="K70" s="106">
        <v>0.21</v>
      </c>
      <c r="L70" s="98">
        <f t="shared" si="1"/>
        <v>1.0003523418029976</v>
      </c>
    </row>
    <row r="71" spans="3:12" ht="15.75" x14ac:dyDescent="0.25">
      <c r="C71" t="s">
        <v>359</v>
      </c>
      <c r="D71" t="s">
        <v>358</v>
      </c>
      <c r="E71" s="86">
        <v>4833975808</v>
      </c>
      <c r="F71" s="86">
        <v>5903000064</v>
      </c>
      <c r="G71" s="98">
        <f t="shared" si="0"/>
        <v>1.2211480359977838</v>
      </c>
      <c r="H71" s="178">
        <v>1.002</v>
      </c>
      <c r="I71" t="s">
        <v>357</v>
      </c>
      <c r="J71" t="s">
        <v>325</v>
      </c>
      <c r="K71" s="106">
        <v>0.24</v>
      </c>
      <c r="L71" s="98">
        <f t="shared" si="1"/>
        <v>0.51968999930031523</v>
      </c>
    </row>
    <row r="72" spans="3:12" ht="15.75" x14ac:dyDescent="0.25">
      <c r="C72" t="s">
        <v>356</v>
      </c>
      <c r="D72" t="s">
        <v>355</v>
      </c>
      <c r="E72" s="86">
        <v>4751759872</v>
      </c>
      <c r="F72" s="86">
        <v>1885853952</v>
      </c>
      <c r="G72" s="98">
        <f t="shared" si="0"/>
        <v>0.39687484275299678</v>
      </c>
      <c r="H72" s="178">
        <v>1.002</v>
      </c>
      <c r="I72" t="s">
        <v>322</v>
      </c>
      <c r="J72" t="s">
        <v>354</v>
      </c>
      <c r="K72" s="106">
        <v>0.21</v>
      </c>
      <c r="L72" s="98">
        <f t="shared" si="1"/>
        <v>0.7628292777675203</v>
      </c>
    </row>
    <row r="73" spans="3:12" ht="15.75" x14ac:dyDescent="0.25">
      <c r="C73" t="s">
        <v>353</v>
      </c>
      <c r="D73" t="s">
        <v>352</v>
      </c>
      <c r="E73" s="86">
        <v>4384570368</v>
      </c>
      <c r="F73" s="86">
        <v>3284999936</v>
      </c>
      <c r="G73" s="98">
        <f t="shared" si="0"/>
        <v>0.74921820390316518</v>
      </c>
      <c r="H73" s="178">
        <v>1.002</v>
      </c>
      <c r="I73" t="s">
        <v>322</v>
      </c>
      <c r="J73" t="s">
        <v>333</v>
      </c>
      <c r="K73" s="106">
        <v>0.21</v>
      </c>
      <c r="L73" s="98">
        <f t="shared" si="1"/>
        <v>0.62944348898314817</v>
      </c>
    </row>
    <row r="74" spans="3:12" ht="15.75" x14ac:dyDescent="0.25">
      <c r="C74" t="s">
        <v>351</v>
      </c>
      <c r="D74" t="s">
        <v>350</v>
      </c>
      <c r="E74" s="86">
        <v>4006316800</v>
      </c>
      <c r="F74" s="86">
        <v>122115000</v>
      </c>
      <c r="G74" s="98">
        <f t="shared" si="0"/>
        <v>3.0480615012771831E-2</v>
      </c>
      <c r="H74" s="178">
        <v>1.002</v>
      </c>
      <c r="I74" t="s">
        <v>322</v>
      </c>
      <c r="J74" t="s">
        <v>333</v>
      </c>
      <c r="K74" s="106">
        <v>0.21</v>
      </c>
      <c r="L74" s="98">
        <f t="shared" si="1"/>
        <v>0.97843948457824759</v>
      </c>
    </row>
    <row r="75" spans="3:12" ht="15.75" x14ac:dyDescent="0.25">
      <c r="C75" t="s">
        <v>349</v>
      </c>
      <c r="D75" t="s">
        <v>348</v>
      </c>
      <c r="E75" s="86">
        <v>3721390592</v>
      </c>
      <c r="F75" s="86">
        <v>4567000064</v>
      </c>
      <c r="G75" s="98">
        <f t="shared" si="0"/>
        <v>1.2272294324110551</v>
      </c>
      <c r="H75" s="178">
        <v>1.002</v>
      </c>
      <c r="I75" t="s">
        <v>322</v>
      </c>
      <c r="J75" t="s">
        <v>325</v>
      </c>
      <c r="K75" s="106">
        <v>0.21</v>
      </c>
      <c r="L75" s="98">
        <f t="shared" si="1"/>
        <v>0.5087556616818425</v>
      </c>
    </row>
    <row r="76" spans="3:12" ht="15.75" x14ac:dyDescent="0.25">
      <c r="C76" t="s">
        <v>347</v>
      </c>
      <c r="D76" t="s">
        <v>346</v>
      </c>
      <c r="E76" s="86">
        <v>3214478080</v>
      </c>
      <c r="F76" s="86">
        <v>2539484928</v>
      </c>
      <c r="G76" s="98">
        <f t="shared" si="0"/>
        <v>0.7900146975026191</v>
      </c>
      <c r="H76" s="178">
        <v>1.002</v>
      </c>
      <c r="I76" t="s">
        <v>345</v>
      </c>
      <c r="J76" t="s">
        <v>333</v>
      </c>
      <c r="K76" s="106">
        <v>0.3</v>
      </c>
      <c r="L76" s="98">
        <f t="shared" si="1"/>
        <v>0.64519855894059441</v>
      </c>
    </row>
    <row r="77" spans="3:12" ht="15.75" x14ac:dyDescent="0.25">
      <c r="C77" t="s">
        <v>344</v>
      </c>
      <c r="D77" t="s">
        <v>343</v>
      </c>
      <c r="E77" s="86">
        <v>2928774144</v>
      </c>
      <c r="F77" s="86">
        <v>2057602944</v>
      </c>
      <c r="G77" s="98">
        <f t="shared" si="0"/>
        <v>0.70254749695031449</v>
      </c>
      <c r="H77" s="178">
        <v>1.002</v>
      </c>
      <c r="I77" t="s">
        <v>322</v>
      </c>
      <c r="J77" t="s">
        <v>333</v>
      </c>
      <c r="K77" s="106">
        <v>0.21</v>
      </c>
      <c r="L77" s="98">
        <f t="shared" si="1"/>
        <v>0.64436780118696735</v>
      </c>
    </row>
    <row r="78" spans="3:12" ht="15.75" x14ac:dyDescent="0.25">
      <c r="C78" t="s">
        <v>342</v>
      </c>
      <c r="D78" t="s">
        <v>341</v>
      </c>
      <c r="E78" s="86">
        <v>2612713216</v>
      </c>
      <c r="F78" s="86">
        <v>2806799872</v>
      </c>
      <c r="G78" s="98">
        <f t="shared" si="0"/>
        <v>1.0742854802476722</v>
      </c>
      <c r="H78" s="178">
        <v>1.002</v>
      </c>
      <c r="I78" t="s">
        <v>322</v>
      </c>
      <c r="J78" t="s">
        <v>325</v>
      </c>
      <c r="K78" s="106">
        <v>0.21</v>
      </c>
      <c r="L78" s="98">
        <f t="shared" si="1"/>
        <v>0.54200673076483463</v>
      </c>
    </row>
    <row r="79" spans="3:12" ht="15.75" x14ac:dyDescent="0.25">
      <c r="C79" t="s">
        <v>340</v>
      </c>
      <c r="D79" t="s">
        <v>339</v>
      </c>
      <c r="E79" s="86">
        <v>2367799296</v>
      </c>
      <c r="F79" s="86">
        <v>1775282048</v>
      </c>
      <c r="G79" s="98">
        <f t="shared" si="0"/>
        <v>0.74976035806710539</v>
      </c>
      <c r="H79" s="178">
        <v>1.002</v>
      </c>
      <c r="I79" t="s">
        <v>338</v>
      </c>
      <c r="J79" t="s">
        <v>325</v>
      </c>
      <c r="K79" s="106">
        <v>0.34</v>
      </c>
      <c r="L79" s="98">
        <f t="shared" si="1"/>
        <v>0.67030502870045916</v>
      </c>
    </row>
    <row r="80" spans="3:12" ht="15.75" x14ac:dyDescent="0.25">
      <c r="C80" t="s">
        <v>337</v>
      </c>
      <c r="D80" t="s">
        <v>336</v>
      </c>
      <c r="E80" s="86">
        <v>2291002368</v>
      </c>
      <c r="F80" s="86">
        <v>1473000</v>
      </c>
      <c r="G80" s="98">
        <f t="shared" si="0"/>
        <v>6.4295001200103514E-4</v>
      </c>
      <c r="H80" s="178">
        <v>1.002</v>
      </c>
      <c r="I80" t="s">
        <v>322</v>
      </c>
      <c r="J80" t="s">
        <v>325</v>
      </c>
      <c r="K80" s="106">
        <v>0.21</v>
      </c>
      <c r="L80" s="98">
        <f t="shared" si="1"/>
        <v>1.0014913120076514</v>
      </c>
    </row>
    <row r="81" spans="3:12" ht="15.75" x14ac:dyDescent="0.25">
      <c r="C81" t="s">
        <v>335</v>
      </c>
      <c r="D81" t="s">
        <v>334</v>
      </c>
      <c r="E81" s="86">
        <v>2245528576</v>
      </c>
      <c r="F81" s="86">
        <v>2697200128</v>
      </c>
      <c r="G81" s="98">
        <f t="shared" si="0"/>
        <v>1.2011426426844101</v>
      </c>
      <c r="H81" s="178">
        <v>1.002</v>
      </c>
      <c r="I81" t="s">
        <v>322</v>
      </c>
      <c r="J81" t="s">
        <v>333</v>
      </c>
      <c r="K81" s="106">
        <v>0.21</v>
      </c>
      <c r="L81" s="98">
        <f t="shared" si="1"/>
        <v>0.51413547034094209</v>
      </c>
    </row>
    <row r="82" spans="3:12" ht="15.75" x14ac:dyDescent="0.25">
      <c r="C82" t="s">
        <v>332</v>
      </c>
      <c r="D82" t="s">
        <v>331</v>
      </c>
      <c r="E82" s="86">
        <v>1832589056</v>
      </c>
      <c r="F82" s="86">
        <v>1325160960</v>
      </c>
      <c r="G82" s="98">
        <f t="shared" si="0"/>
        <v>0.72310862910664464</v>
      </c>
      <c r="H82" s="178">
        <v>1.002</v>
      </c>
      <c r="I82" t="s">
        <v>322</v>
      </c>
      <c r="J82" t="s">
        <v>325</v>
      </c>
      <c r="K82" s="106">
        <v>0.21</v>
      </c>
      <c r="L82" s="98">
        <f t="shared" si="1"/>
        <v>0.63770646966754696</v>
      </c>
    </row>
    <row r="83" spans="3:12" ht="15.75" x14ac:dyDescent="0.25">
      <c r="C83" t="s">
        <v>330</v>
      </c>
      <c r="D83" t="s">
        <v>329</v>
      </c>
      <c r="E83" s="86">
        <v>1645360128</v>
      </c>
      <c r="F83" s="86">
        <v>6745000</v>
      </c>
      <c r="G83" s="98">
        <f t="shared" si="0"/>
        <v>4.0994064978338894E-3</v>
      </c>
      <c r="H83" s="178">
        <v>1.002</v>
      </c>
      <c r="I83" t="s">
        <v>322</v>
      </c>
      <c r="J83" t="s">
        <v>325</v>
      </c>
      <c r="K83" s="106">
        <v>0.21</v>
      </c>
      <c r="L83" s="98">
        <f t="shared" si="1"/>
        <v>0.99876546694045965</v>
      </c>
    </row>
    <row r="84" spans="3:12" ht="15.75" x14ac:dyDescent="0.25">
      <c r="C84" t="s">
        <v>328</v>
      </c>
      <c r="D84" t="s">
        <v>327</v>
      </c>
      <c r="E84" s="86">
        <v>688262016</v>
      </c>
      <c r="F84" s="86">
        <v>3012300032</v>
      </c>
      <c r="G84" s="98">
        <f t="shared" si="0"/>
        <v>4.3766762685912921</v>
      </c>
      <c r="H84" s="178">
        <v>1.002</v>
      </c>
      <c r="I84" t="s">
        <v>326</v>
      </c>
      <c r="J84" t="s">
        <v>325</v>
      </c>
      <c r="K84" s="106">
        <v>0.26</v>
      </c>
      <c r="L84" s="98">
        <f t="shared" si="1"/>
        <v>0.2363909785175953</v>
      </c>
    </row>
    <row r="85" spans="3:12" ht="15.75" x14ac:dyDescent="0.25">
      <c r="C85" t="s">
        <v>324</v>
      </c>
      <c r="D85" t="s">
        <v>323</v>
      </c>
      <c r="E85" s="86">
        <v>25085932</v>
      </c>
      <c r="F85" s="86">
        <v>189887008</v>
      </c>
      <c r="G85" s="98">
        <f t="shared" si="0"/>
        <v>7.569461959794836</v>
      </c>
      <c r="H85" s="178">
        <v>1.002</v>
      </c>
      <c r="I85" t="s">
        <v>322</v>
      </c>
      <c r="J85" t="s">
        <v>321</v>
      </c>
      <c r="K85" s="106">
        <v>0.21</v>
      </c>
      <c r="L85" s="98">
        <f t="shared" si="1"/>
        <v>0.14355558049832345</v>
      </c>
    </row>
  </sheetData>
  <conditionalFormatting sqref="D29">
    <cfRule type="cellIs" dxfId="1" priority="2" operator="equal">
      <formula>FALSE</formula>
    </cfRule>
  </conditionalFormatting>
  <conditionalFormatting sqref="D35">
    <cfRule type="cellIs" dxfId="0" priority="1" operator="equal">
      <formula>FALSE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W71"/>
  <sheetViews>
    <sheetView showGridLines="0" zoomScale="80" zoomScaleNormal="80" workbookViewId="0">
      <selection activeCell="I11" sqref="I11"/>
    </sheetView>
  </sheetViews>
  <sheetFormatPr defaultColWidth="0" defaultRowHeight="12.75" x14ac:dyDescent="0.2"/>
  <cols>
    <col min="1" max="1" width="2.7109375" style="36" customWidth="1"/>
    <col min="2" max="2" width="38.42578125" style="36" customWidth="1"/>
    <col min="3" max="3" width="0.28515625" style="36" customWidth="1"/>
    <col min="4" max="4" width="15.140625" style="36" bestFit="1" customWidth="1"/>
    <col min="5" max="13" width="13.85546875" style="36" bestFit="1" customWidth="1"/>
    <col min="14" max="14" width="3.28515625" style="36" bestFit="1" customWidth="1"/>
    <col min="15" max="15" width="9" style="36" bestFit="1" customWidth="1"/>
    <col min="16" max="20" width="10.7109375" style="36" hidden="1" customWidth="1"/>
    <col min="21" max="21" width="14.42578125" style="36" hidden="1" customWidth="1"/>
    <col min="22" max="22" width="12.7109375" style="36" hidden="1" customWidth="1"/>
    <col min="23" max="23" width="0" style="36" hidden="1" customWidth="1"/>
    <col min="24" max="16384" width="8.7109375" style="36" hidden="1"/>
  </cols>
  <sheetData>
    <row r="1" spans="2:14" customFormat="1" ht="15" x14ac:dyDescent="0.25">
      <c r="B1" s="65" t="s">
        <v>197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</row>
    <row r="2" spans="2:14" customFormat="1" ht="15" x14ac:dyDescent="0.25">
      <c r="B2" s="65" t="s">
        <v>29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</row>
    <row r="3" spans="2:14" s="55" customFormat="1" ht="15" x14ac:dyDescent="0.25"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</row>
    <row r="4" spans="2:14" s="112" customFormat="1" ht="15" x14ac:dyDescent="0.25">
      <c r="B4" s="36" t="s">
        <v>259</v>
      </c>
      <c r="C4" s="36"/>
      <c r="D4" s="113">
        <v>1</v>
      </c>
      <c r="E4" s="36">
        <f t="shared" ref="E4:M4" si="0">D4+1</f>
        <v>2</v>
      </c>
      <c r="F4" s="36">
        <f t="shared" si="0"/>
        <v>3</v>
      </c>
      <c r="G4" s="36">
        <f t="shared" si="0"/>
        <v>4</v>
      </c>
      <c r="H4" s="36">
        <f t="shared" si="0"/>
        <v>5</v>
      </c>
      <c r="I4" s="36">
        <f t="shared" si="0"/>
        <v>6</v>
      </c>
      <c r="J4" s="36">
        <f t="shared" si="0"/>
        <v>7</v>
      </c>
      <c r="K4" s="36">
        <f t="shared" si="0"/>
        <v>8</v>
      </c>
      <c r="L4" s="36">
        <f t="shared" si="0"/>
        <v>9</v>
      </c>
      <c r="M4" s="36">
        <f t="shared" si="0"/>
        <v>10</v>
      </c>
      <c r="N4" s="36"/>
    </row>
    <row r="5" spans="2:14" s="112" customFormat="1" ht="15" x14ac:dyDescent="0.25">
      <c r="B5" s="36" t="s">
        <v>260</v>
      </c>
      <c r="C5" s="36"/>
      <c r="D5" s="113">
        <v>0.5</v>
      </c>
      <c r="E5" s="36">
        <f>D5+1</f>
        <v>1.5</v>
      </c>
      <c r="F5" s="36">
        <f t="shared" ref="F5:M5" si="1">E5+1</f>
        <v>2.5</v>
      </c>
      <c r="G5" s="36">
        <f t="shared" si="1"/>
        <v>3.5</v>
      </c>
      <c r="H5" s="36">
        <f t="shared" si="1"/>
        <v>4.5</v>
      </c>
      <c r="I5" s="36">
        <f t="shared" si="1"/>
        <v>5.5</v>
      </c>
      <c r="J5" s="36">
        <f t="shared" si="1"/>
        <v>6.5</v>
      </c>
      <c r="K5" s="36">
        <f t="shared" si="1"/>
        <v>7.5</v>
      </c>
      <c r="L5" s="36">
        <f t="shared" si="1"/>
        <v>8.5</v>
      </c>
      <c r="M5" s="36">
        <f t="shared" si="1"/>
        <v>9.5</v>
      </c>
      <c r="N5" s="36"/>
    </row>
    <row r="6" spans="2:14" x14ac:dyDescent="0.2">
      <c r="D6" s="68">
        <f>'Operating Model'!K5</f>
        <v>2026</v>
      </c>
      <c r="E6" s="68">
        <f>'Operating Model'!L5</f>
        <v>2027</v>
      </c>
      <c r="F6" s="68">
        <f>'Operating Model'!M5</f>
        <v>2028</v>
      </c>
      <c r="G6" s="68">
        <f>'Operating Model'!N5</f>
        <v>2029</v>
      </c>
      <c r="H6" s="68">
        <f>'Operating Model'!O5</f>
        <v>2030</v>
      </c>
      <c r="I6" s="68">
        <f>'Operating Model'!P5</f>
        <v>2031</v>
      </c>
      <c r="J6" s="68">
        <f>'Operating Model'!Q5</f>
        <v>2032</v>
      </c>
      <c r="K6" s="68">
        <f>'Operating Model'!R5</f>
        <v>2033</v>
      </c>
      <c r="L6" s="68">
        <f>'Operating Model'!S5</f>
        <v>2034</v>
      </c>
      <c r="M6" s="68">
        <f>'Operating Model'!T5</f>
        <v>2035</v>
      </c>
    </row>
    <row r="8" spans="2:14" x14ac:dyDescent="0.2">
      <c r="B8" s="36" t="s">
        <v>1</v>
      </c>
      <c r="D8" s="83">
        <f>'Operating Model'!K63</f>
        <v>6171251.6792494571</v>
      </c>
      <c r="E8" s="83">
        <f>'Operating Model'!L63</f>
        <v>6470996.6005308498</v>
      </c>
      <c r="F8" s="83">
        <f>'Operating Model'!M63</f>
        <v>6738842.2518657651</v>
      </c>
      <c r="G8" s="83">
        <f>'Operating Model'!N63</f>
        <v>6986222.7935542716</v>
      </c>
      <c r="H8" s="83">
        <f>'Operating Model'!O63</f>
        <v>7210238.9804003723</v>
      </c>
      <c r="I8" s="83">
        <f>'Operating Model'!P63</f>
        <v>7408239.5644996222</v>
      </c>
      <c r="J8" s="83">
        <f>'Operating Model'!Q63</f>
        <v>7577877.8687718911</v>
      </c>
      <c r="K8" s="83">
        <f>'Operating Model'!R63</f>
        <v>7733642.1903876206</v>
      </c>
      <c r="L8" s="83">
        <f>'Operating Model'!S63</f>
        <v>7874497.645632023</v>
      </c>
      <c r="M8" s="83">
        <f>'Operating Model'!T63</f>
        <v>8018674.7258285927</v>
      </c>
    </row>
    <row r="9" spans="2:14" x14ac:dyDescent="0.2">
      <c r="B9" s="36" t="s">
        <v>253</v>
      </c>
      <c r="D9" s="44">
        <f>'Operating Model'!K51</f>
        <v>-0.22</v>
      </c>
      <c r="E9" s="44">
        <f>'Operating Model'!L51</f>
        <v>-0.22</v>
      </c>
      <c r="F9" s="44">
        <f>'Operating Model'!M51</f>
        <v>-0.22</v>
      </c>
      <c r="G9" s="44">
        <f>'Operating Model'!N51</f>
        <v>-0.22</v>
      </c>
      <c r="H9" s="44">
        <f>'Operating Model'!O51</f>
        <v>-0.22</v>
      </c>
      <c r="I9" s="44">
        <f>'Operating Model'!P51</f>
        <v>-0.22</v>
      </c>
      <c r="J9" s="44">
        <f>'Operating Model'!Q51</f>
        <v>-0.22</v>
      </c>
      <c r="K9" s="44">
        <f>'Operating Model'!R51</f>
        <v>-0.22</v>
      </c>
      <c r="L9" s="44">
        <f>'Operating Model'!S51</f>
        <v>-0.22</v>
      </c>
      <c r="M9" s="44">
        <f>'Operating Model'!T51</f>
        <v>-0.22</v>
      </c>
    </row>
    <row r="10" spans="2:14" x14ac:dyDescent="0.2">
      <c r="B10" s="36" t="s">
        <v>6</v>
      </c>
      <c r="D10" s="6">
        <f>D8*D9</f>
        <v>-1357675.3694348806</v>
      </c>
      <c r="E10" s="6">
        <f t="shared" ref="E10:K10" si="2">E8*E9</f>
        <v>-1423619.252116787</v>
      </c>
      <c r="F10" s="6">
        <f t="shared" si="2"/>
        <v>-1482545.2954104682</v>
      </c>
      <c r="G10" s="6">
        <f t="shared" si="2"/>
        <v>-1536969.0145819397</v>
      </c>
      <c r="H10" s="6">
        <f t="shared" si="2"/>
        <v>-1586252.575688082</v>
      </c>
      <c r="I10" s="6">
        <f t="shared" si="2"/>
        <v>-1629812.7041899168</v>
      </c>
      <c r="J10" s="6">
        <f t="shared" si="2"/>
        <v>-1667133.1311298159</v>
      </c>
      <c r="K10" s="6">
        <f t="shared" si="2"/>
        <v>-1701401.2818852765</v>
      </c>
      <c r="L10" s="6">
        <f>L8*L9</f>
        <v>-1732389.4820390451</v>
      </c>
      <c r="M10" s="6">
        <f>M8*M9</f>
        <v>-1764108.4396822904</v>
      </c>
    </row>
    <row r="11" spans="2:14" x14ac:dyDescent="0.2">
      <c r="B11" s="36" t="s">
        <v>261</v>
      </c>
      <c r="D11" s="6">
        <f>D8+D10</f>
        <v>4813576.3098145761</v>
      </c>
      <c r="E11" s="6">
        <f t="shared" ref="E11:M11" si="3">E8+E10</f>
        <v>5047377.3484140625</v>
      </c>
      <c r="F11" s="6">
        <f t="shared" si="3"/>
        <v>5256296.9564552968</v>
      </c>
      <c r="G11" s="6">
        <f t="shared" si="3"/>
        <v>5449253.7789723314</v>
      </c>
      <c r="H11" s="6">
        <f t="shared" si="3"/>
        <v>5623986.4047122905</v>
      </c>
      <c r="I11" s="6">
        <f t="shared" si="3"/>
        <v>5778426.8603097051</v>
      </c>
      <c r="J11" s="6">
        <f t="shared" si="3"/>
        <v>5910744.7376420749</v>
      </c>
      <c r="K11" s="6">
        <f t="shared" si="3"/>
        <v>6032240.908502344</v>
      </c>
      <c r="L11" s="6">
        <f t="shared" si="3"/>
        <v>6142108.1635929774</v>
      </c>
      <c r="M11" s="6">
        <f t="shared" si="3"/>
        <v>6254566.2861463018</v>
      </c>
    </row>
    <row r="12" spans="2:14" x14ac:dyDescent="0.2">
      <c r="B12" s="36" t="s">
        <v>30</v>
      </c>
      <c r="D12" s="83">
        <f>'Operating Model'!K80</f>
        <v>717091.39980295568</v>
      </c>
      <c r="E12" s="83">
        <f>'Operating Model'!L80</f>
        <v>863987.20295690931</v>
      </c>
      <c r="F12" s="83">
        <f>'Operating Model'!M80</f>
        <v>1016963.2754268611</v>
      </c>
      <c r="G12" s="83">
        <f>'Operating Model'!N80</f>
        <v>598555.04600319301</v>
      </c>
      <c r="H12" s="83">
        <f>'Operating Model'!O80</f>
        <v>762232.12873739935</v>
      </c>
      <c r="I12" s="83">
        <f>'Operating Model'!P80</f>
        <v>790312.55283785821</v>
      </c>
      <c r="J12" s="83">
        <f>'Operating Model'!Q80</f>
        <v>815439.47268216731</v>
      </c>
      <c r="K12" s="83">
        <f>'Operating Model'!R80</f>
        <v>838022.07393630547</v>
      </c>
      <c r="L12" s="83">
        <f>'Operating Model'!S80</f>
        <v>858186.48691200011</v>
      </c>
      <c r="M12" s="83">
        <f>'Operating Model'!T80</f>
        <v>876538.50058997085</v>
      </c>
    </row>
    <row r="13" spans="2:14" x14ac:dyDescent="0.2">
      <c r="B13" s="36" t="s">
        <v>444</v>
      </c>
      <c r="D13" s="83">
        <f>'Operating Model'!K95</f>
        <v>-700456.99901477841</v>
      </c>
      <c r="E13" s="83">
        <f>'Operating Model'!L95</f>
        <v>-734479.01576976804</v>
      </c>
      <c r="F13" s="83">
        <f>'Operating Model'!M95</f>
        <v>-764880.36234975886</v>
      </c>
      <c r="G13" s="83">
        <f>'Operating Model'!N95</f>
        <v>-792958.85288165964</v>
      </c>
      <c r="H13" s="83">
        <f>'Operating Model'!O95</f>
        <v>-818385.41367103206</v>
      </c>
      <c r="I13" s="83">
        <f>'Operating Model'!P95</f>
        <v>-840859.11951707257</v>
      </c>
      <c r="J13" s="83">
        <f>'Operating Model'!Q95</f>
        <v>-860113.61499131343</v>
      </c>
      <c r="K13" s="83">
        <f>'Operating Model'!R95</f>
        <v>-877793.36862044991</v>
      </c>
      <c r="L13" s="83">
        <f>'Operating Model'!S95</f>
        <v>-893780.91776013328</v>
      </c>
      <c r="M13" s="83">
        <f>'Operating Model'!T95</f>
        <v>-910145.48206088529</v>
      </c>
    </row>
    <row r="14" spans="2:14" x14ac:dyDescent="0.2">
      <c r="B14" s="36" t="s">
        <v>32</v>
      </c>
      <c r="D14" s="83">
        <f>'Operating Model'!K86</f>
        <v>-1512342.9789997141</v>
      </c>
      <c r="E14" s="83">
        <f>'Operating Model'!L86</f>
        <v>-1404184.9253856684</v>
      </c>
      <c r="F14" s="83">
        <f>'Operating Model'!M86</f>
        <v>-1471880.8622731562</v>
      </c>
      <c r="G14" s="83">
        <f>'Operating Model'!N86</f>
        <v>-1532460.2325934987</v>
      </c>
      <c r="H14" s="83">
        <f>'Operating Model'!O86</f>
        <v>-1588362.2531826212</v>
      </c>
      <c r="I14" s="83">
        <f>'Operating Model'!P86</f>
        <v>-1638931.4828897563</v>
      </c>
      <c r="J14" s="83">
        <f>'Operating Model'!Q86</f>
        <v>-1683569.3949026647</v>
      </c>
      <c r="K14" s="83">
        <f>'Operating Model'!R86</f>
        <v>-1721926.9878250661</v>
      </c>
      <c r="L14" s="83">
        <f>'Operating Model'!S86</f>
        <v>-1757123.8040237001</v>
      </c>
      <c r="M14" s="83">
        <f>'Operating Model'!T86</f>
        <v>-1789135.1491021093</v>
      </c>
    </row>
    <row r="15" spans="2:14" x14ac:dyDescent="0.2">
      <c r="B15" s="36" t="str">
        <f>'Operating Model'!B84</f>
        <v>Net loan receivables, held for sale</v>
      </c>
      <c r="D15" s="83">
        <f>'Operating Model'!K84</f>
        <v>-1263791.6314964427</v>
      </c>
      <c r="E15" s="83">
        <f>'Operating Model'!L84</f>
        <v>-1213654.474042888</v>
      </c>
      <c r="F15" s="83">
        <f>'Operating Model'!M84</f>
        <v>-1165506.3585285856</v>
      </c>
      <c r="G15" s="83">
        <f>'Operating Model'!N84</f>
        <v>-1119268.3756567775</v>
      </c>
      <c r="H15" s="83">
        <f>'Operating Model'!O84</f>
        <v>-1074864.7466213163</v>
      </c>
      <c r="I15" s="83">
        <f>'Operating Model'!P84</f>
        <v>-1032222.6989138024</v>
      </c>
      <c r="J15" s="83">
        <f>'Operating Model'!Q84</f>
        <v>-991272.3470577019</v>
      </c>
      <c r="K15" s="83">
        <f>'Operating Model'!R84</f>
        <v>-951946.57807398262</v>
      </c>
      <c r="L15" s="83">
        <f>'Operating Model'!S84</f>
        <v>-914180.94149055798</v>
      </c>
      <c r="M15" s="83">
        <f>'Operating Model'!T84</f>
        <v>-877913.54371527839</v>
      </c>
    </row>
    <row r="16" spans="2:14" x14ac:dyDescent="0.2">
      <c r="B16" s="36" t="s">
        <v>440</v>
      </c>
      <c r="D16" s="83">
        <f>'Operating Model'!K96</f>
        <v>-700456.99901477841</v>
      </c>
      <c r="E16" s="83">
        <f>'Operating Model'!L96</f>
        <v>-734479.01576976804</v>
      </c>
      <c r="F16" s="83">
        <f>'Operating Model'!M96</f>
        <v>-764880.36234975886</v>
      </c>
      <c r="G16" s="83">
        <f>'Operating Model'!N96</f>
        <v>-792958.85288165964</v>
      </c>
      <c r="H16" s="83">
        <f>'Operating Model'!O96</f>
        <v>-818385.41367103206</v>
      </c>
      <c r="I16" s="83">
        <f>'Operating Model'!P96</f>
        <v>-840859.11951707257</v>
      </c>
      <c r="J16" s="83">
        <f>'Operating Model'!Q96</f>
        <v>-860113.61499131343</v>
      </c>
      <c r="K16" s="83">
        <f>'Operating Model'!R96</f>
        <v>-877793.36862044991</v>
      </c>
      <c r="L16" s="83">
        <f>'Operating Model'!S96</f>
        <v>-893780.91776013328</v>
      </c>
      <c r="M16" s="83">
        <f>'Operating Model'!T96</f>
        <v>-910145.48206088529</v>
      </c>
    </row>
    <row r="17" spans="2:13" s="37" customFormat="1" x14ac:dyDescent="0.2">
      <c r="B17" s="38" t="s">
        <v>33</v>
      </c>
      <c r="C17" s="38"/>
      <c r="D17" s="34">
        <f>SUM(D11:D16)</f>
        <v>1353619.1010918184</v>
      </c>
      <c r="E17" s="34">
        <f>SUM(E11:E16)</f>
        <v>1824567.1204028795</v>
      </c>
      <c r="F17" s="34">
        <f t="shared" ref="F17:M17" si="4">SUM(F11:F16)</f>
        <v>2106112.2863808982</v>
      </c>
      <c r="G17" s="34">
        <f t="shared" si="4"/>
        <v>1810162.5109619284</v>
      </c>
      <c r="H17" s="34">
        <f t="shared" si="4"/>
        <v>2086220.7063036878</v>
      </c>
      <c r="I17" s="34">
        <f t="shared" si="4"/>
        <v>2215866.9923098586</v>
      </c>
      <c r="J17" s="34">
        <f t="shared" si="4"/>
        <v>2331115.2383812489</v>
      </c>
      <c r="K17" s="34">
        <f t="shared" si="4"/>
        <v>2440802.6792987017</v>
      </c>
      <c r="L17" s="34">
        <f t="shared" si="4"/>
        <v>2541428.0694704535</v>
      </c>
      <c r="M17" s="34">
        <f t="shared" si="4"/>
        <v>2643765.1297971141</v>
      </c>
    </row>
    <row r="18" spans="2:13" ht="4.9000000000000004" customHeight="1" x14ac:dyDescent="0.2">
      <c r="B18" s="37"/>
      <c r="C18" s="37"/>
      <c r="D18" s="6"/>
      <c r="E18" s="6"/>
      <c r="F18" s="6"/>
      <c r="G18" s="6"/>
      <c r="H18" s="6"/>
      <c r="I18" s="6"/>
      <c r="J18" s="6"/>
      <c r="K18" s="6"/>
      <c r="L18" s="6"/>
    </row>
    <row r="19" spans="2:13" x14ac:dyDescent="0.2">
      <c r="B19" s="39" t="s">
        <v>34</v>
      </c>
      <c r="C19" s="39"/>
      <c r="D19" s="72">
        <f t="shared" ref="D19:M19" si="5">1/((1+$D$43)^D5)</f>
        <v>0.964087447467605</v>
      </c>
      <c r="E19" s="72">
        <f t="shared" si="5"/>
        <v>0.89608515986153137</v>
      </c>
      <c r="F19" s="72">
        <f t="shared" si="5"/>
        <v>0.83287944037985973</v>
      </c>
      <c r="G19" s="72">
        <f t="shared" si="5"/>
        <v>0.77413196120183636</v>
      </c>
      <c r="H19" s="72">
        <f t="shared" si="5"/>
        <v>0.71952825859272218</v>
      </c>
      <c r="I19" s="72">
        <f t="shared" si="5"/>
        <v>0.66877604964109216</v>
      </c>
      <c r="J19" s="72">
        <f t="shared" si="5"/>
        <v>0.62160366772573117</v>
      </c>
      <c r="K19" s="72">
        <f t="shared" si="5"/>
        <v>0.5777586083374896</v>
      </c>
      <c r="L19" s="72">
        <f t="shared" si="5"/>
        <v>0.53700617747216506</v>
      </c>
      <c r="M19" s="72">
        <f t="shared" si="5"/>
        <v>0.4991282353595255</v>
      </c>
    </row>
    <row r="20" spans="2:13" ht="4.9000000000000004" customHeight="1" x14ac:dyDescent="0.2">
      <c r="D20" s="6"/>
      <c r="E20" s="6"/>
      <c r="F20" s="6"/>
      <c r="G20" s="6"/>
      <c r="H20" s="6"/>
      <c r="I20" s="6"/>
      <c r="J20" s="6"/>
      <c r="K20" s="6"/>
      <c r="L20" s="6"/>
    </row>
    <row r="21" spans="2:13" s="37" customFormat="1" x14ac:dyDescent="0.2">
      <c r="B21" s="37" t="s">
        <v>35</v>
      </c>
      <c r="D21" s="14">
        <f>+D17*D19</f>
        <v>1305007.1840150051</v>
      </c>
      <c r="E21" s="14">
        <f>+E17*E19</f>
        <v>1634967.5197643084</v>
      </c>
      <c r="F21" s="14">
        <f t="shared" ref="F21:M21" si="6">+F17*F19</f>
        <v>1754137.6224580694</v>
      </c>
      <c r="G21" s="14">
        <f>+G17*G19</f>
        <v>1401304.6547049982</v>
      </c>
      <c r="H21" s="14">
        <f t="shared" si="6"/>
        <v>1501094.7518467715</v>
      </c>
      <c r="I21" s="14">
        <f t="shared" si="6"/>
        <v>1481918.7736470755</v>
      </c>
      <c r="J21" s="14">
        <f t="shared" si="6"/>
        <v>1449029.7820691264</v>
      </c>
      <c r="K21" s="14">
        <f t="shared" si="6"/>
        <v>1410194.7592180339</v>
      </c>
      <c r="L21" s="14">
        <f t="shared" si="6"/>
        <v>1364762.5729067922</v>
      </c>
      <c r="M21" s="14">
        <f t="shared" si="6"/>
        <v>1319577.8239406804</v>
      </c>
    </row>
    <row r="22" spans="2:13" s="37" customFormat="1" x14ac:dyDescent="0.2">
      <c r="D22" s="14"/>
      <c r="E22" s="14"/>
      <c r="F22" s="14"/>
      <c r="G22" s="14"/>
      <c r="H22" s="14"/>
      <c r="I22" s="14"/>
      <c r="J22" s="14"/>
      <c r="K22" s="14"/>
      <c r="L22" s="14"/>
      <c r="M22" s="14"/>
    </row>
    <row r="23" spans="2:13" s="37" customFormat="1" x14ac:dyDescent="0.2">
      <c r="D23" s="14"/>
      <c r="E23" s="14"/>
      <c r="F23" s="14"/>
      <c r="G23" s="14"/>
      <c r="H23" s="14"/>
      <c r="I23" s="14"/>
      <c r="J23" s="14"/>
      <c r="K23" s="14"/>
      <c r="L23" s="14"/>
      <c r="M23" s="14"/>
    </row>
    <row r="24" spans="2:13" s="37" customFormat="1" x14ac:dyDescent="0.2">
      <c r="B24" s="36" t="s">
        <v>262</v>
      </c>
      <c r="D24" s="14"/>
      <c r="E24" s="44">
        <f>E17/D17-1</f>
        <v>0.3479176815185292</v>
      </c>
      <c r="F24" s="44">
        <f t="shared" ref="F24:L24" si="7">F17/E17-1</f>
        <v>0.15430792478374333</v>
      </c>
      <c r="G24" s="44">
        <f t="shared" si="7"/>
        <v>-0.1405194667600197</v>
      </c>
      <c r="H24" s="44">
        <f t="shared" si="7"/>
        <v>0.15250464732863178</v>
      </c>
      <c r="I24" s="44">
        <f t="shared" si="7"/>
        <v>6.2144089364291055E-2</v>
      </c>
      <c r="J24" s="44">
        <f t="shared" si="7"/>
        <v>5.2010453006140711E-2</v>
      </c>
      <c r="K24" s="44">
        <f t="shared" si="7"/>
        <v>4.7053633004270123E-2</v>
      </c>
      <c r="L24" s="44">
        <f t="shared" si="7"/>
        <v>4.1226351898574487E-2</v>
      </c>
      <c r="M24" s="44">
        <f>M17/L17-1</f>
        <v>4.0267541527541306E-2</v>
      </c>
    </row>
    <row r="25" spans="2:13" s="37" customFormat="1" x14ac:dyDescent="0.2">
      <c r="B25" s="36" t="s">
        <v>264</v>
      </c>
      <c r="D25" s="14"/>
      <c r="E25" s="44">
        <f>E11/D11-1</f>
        <v>4.8571171110922462E-2</v>
      </c>
      <c r="F25" s="44">
        <f t="shared" ref="F25:M25" si="8">F11/E11-1</f>
        <v>4.1391715661377892E-2</v>
      </c>
      <c r="G25" s="44">
        <f t="shared" si="8"/>
        <v>3.6709650180639652E-2</v>
      </c>
      <c r="H25" s="44">
        <f t="shared" si="8"/>
        <v>3.2065422684885769E-2</v>
      </c>
      <c r="I25" s="44">
        <f t="shared" si="8"/>
        <v>2.7461029327526587E-2</v>
      </c>
      <c r="J25" s="44">
        <f t="shared" si="8"/>
        <v>2.2898598620538335E-2</v>
      </c>
      <c r="K25" s="44">
        <f t="shared" si="8"/>
        <v>2.0555137508566634E-2</v>
      </c>
      <c r="L25" s="44">
        <f t="shared" si="8"/>
        <v>1.8213340076616902E-2</v>
      </c>
      <c r="M25" s="44">
        <f t="shared" si="8"/>
        <v>1.8309368633381284E-2</v>
      </c>
    </row>
    <row r="26" spans="2:13" s="37" customFormat="1" x14ac:dyDescent="0.2">
      <c r="B26" s="36" t="s">
        <v>445</v>
      </c>
      <c r="D26" s="14"/>
      <c r="E26" s="44">
        <f>E12/D12-1</f>
        <v>0.20484948389329172</v>
      </c>
      <c r="F26" s="44">
        <f t="shared" ref="F26:M26" si="9">F12/E12-1</f>
        <v>0.17705826191222118</v>
      </c>
      <c r="G26" s="44">
        <f t="shared" si="9"/>
        <v>-0.41142904521114099</v>
      </c>
      <c r="H26" s="44">
        <f t="shared" si="9"/>
        <v>0.27345368454772534</v>
      </c>
      <c r="I26" s="44">
        <f t="shared" si="9"/>
        <v>3.6839727744057083E-2</v>
      </c>
      <c r="J26" s="44">
        <f t="shared" si="9"/>
        <v>3.1793648922927131E-2</v>
      </c>
      <c r="K26" s="44">
        <f t="shared" si="9"/>
        <v>2.769377987045285E-2</v>
      </c>
      <c r="L26" s="44">
        <f t="shared" si="9"/>
        <v>2.4061911497127442E-2</v>
      </c>
      <c r="M26" s="44">
        <f t="shared" si="9"/>
        <v>2.1384645363045074E-2</v>
      </c>
    </row>
    <row r="27" spans="2:13" s="37" customFormat="1" x14ac:dyDescent="0.2">
      <c r="B27" s="36" t="s">
        <v>263</v>
      </c>
      <c r="D27" s="14"/>
      <c r="E27" s="44">
        <f>E13/D13-1</f>
        <v>4.8571171110921796E-2</v>
      </c>
      <c r="F27" s="44">
        <f t="shared" ref="F27:M27" si="10">F13/E13-1</f>
        <v>4.139171566137767E-2</v>
      </c>
      <c r="G27" s="44">
        <f t="shared" si="10"/>
        <v>3.6709650180639875E-2</v>
      </c>
      <c r="H27" s="44">
        <f t="shared" si="10"/>
        <v>3.2065422684885547E-2</v>
      </c>
      <c r="I27" s="44">
        <f t="shared" si="10"/>
        <v>2.7461029327527031E-2</v>
      </c>
      <c r="J27" s="44">
        <f t="shared" si="10"/>
        <v>2.2898598620538557E-2</v>
      </c>
      <c r="K27" s="44">
        <f t="shared" si="10"/>
        <v>2.055513750856619E-2</v>
      </c>
      <c r="L27" s="44">
        <f t="shared" si="10"/>
        <v>1.8213340076616902E-2</v>
      </c>
      <c r="M27" s="44">
        <f t="shared" si="10"/>
        <v>1.8309368633381062E-2</v>
      </c>
    </row>
    <row r="28" spans="2:13" s="37" customFormat="1" x14ac:dyDescent="0.2">
      <c r="B28" s="36"/>
      <c r="D28" s="14"/>
      <c r="E28" s="44"/>
      <c r="F28" s="44"/>
      <c r="G28" s="44"/>
      <c r="H28" s="44"/>
      <c r="I28" s="44"/>
      <c r="J28" s="44"/>
      <c r="K28" s="44"/>
      <c r="L28" s="44"/>
      <c r="M28" s="44"/>
    </row>
    <row r="29" spans="2:13" s="37" customFormat="1" x14ac:dyDescent="0.2">
      <c r="B29" s="36" t="s">
        <v>267</v>
      </c>
      <c r="D29" s="44">
        <f>((M8/D8)^(1/9)-1)</f>
        <v>2.952427955639858E-2</v>
      </c>
      <c r="E29" s="44"/>
      <c r="F29" s="44"/>
      <c r="G29" s="44"/>
      <c r="H29" s="44"/>
      <c r="I29" s="44"/>
      <c r="J29" s="44"/>
      <c r="K29" s="44"/>
      <c r="L29" s="44"/>
      <c r="M29" s="44"/>
    </row>
    <row r="30" spans="2:13" s="37" customFormat="1" x14ac:dyDescent="0.2">
      <c r="B30" s="36" t="s">
        <v>265</v>
      </c>
      <c r="D30" s="44">
        <f>((M11/D11)^(1/9)-1)</f>
        <v>2.952427955639858E-2</v>
      </c>
      <c r="E30" s="44"/>
      <c r="F30" s="44"/>
      <c r="G30" s="44"/>
      <c r="H30" s="44"/>
      <c r="I30" s="44"/>
      <c r="J30" s="44"/>
      <c r="K30" s="44"/>
      <c r="L30" s="44"/>
      <c r="M30" s="44"/>
    </row>
    <row r="31" spans="2:13" s="37" customFormat="1" x14ac:dyDescent="0.2">
      <c r="B31" s="36" t="s">
        <v>266</v>
      </c>
      <c r="D31" s="44">
        <f>((M17/D17)^(1/9)-1)</f>
        <v>7.7216341003307321E-2</v>
      </c>
      <c r="E31" s="44"/>
      <c r="F31" s="44"/>
      <c r="G31" s="44"/>
      <c r="H31" s="44"/>
      <c r="I31" s="44"/>
      <c r="J31" s="44"/>
      <c r="K31" s="44"/>
      <c r="L31" s="44"/>
      <c r="M31" s="44"/>
    </row>
    <row r="32" spans="2:13" s="37" customFormat="1" x14ac:dyDescent="0.2">
      <c r="B32" s="126"/>
      <c r="C32" s="126"/>
      <c r="D32" s="14"/>
      <c r="E32" s="44"/>
      <c r="F32" s="44"/>
      <c r="G32" s="44"/>
      <c r="H32" s="44"/>
      <c r="I32" s="44"/>
      <c r="J32" s="44"/>
      <c r="K32" s="44"/>
      <c r="L32" s="44"/>
      <c r="M32" s="44"/>
    </row>
    <row r="33" spans="2:13" s="37" customFormat="1" x14ac:dyDescent="0.2">
      <c r="B33" s="127" t="s">
        <v>435</v>
      </c>
      <c r="C33" s="126"/>
      <c r="D33" s="83">
        <f>'Operating Model'!K138</f>
        <v>24633576.309814572</v>
      </c>
      <c r="E33" s="83">
        <f>'Operating Model'!L138</f>
        <v>29680953.658228636</v>
      </c>
      <c r="F33" s="83">
        <f>'Operating Model'!M138</f>
        <v>34937250.614683934</v>
      </c>
      <c r="G33" s="83">
        <f>'Operating Model'!N138</f>
        <v>40386504.393656269</v>
      </c>
      <c r="H33" s="83">
        <f>'Operating Model'!O138</f>
        <v>46010490.798368558</v>
      </c>
      <c r="I33" s="83">
        <f>'Operating Model'!P138</f>
        <v>51788917.658678263</v>
      </c>
      <c r="J33" s="83">
        <f>'Operating Model'!Q138</f>
        <v>57699662.396320343</v>
      </c>
      <c r="K33" s="83">
        <f>'Operating Model'!R138</f>
        <v>63731903.304822683</v>
      </c>
      <c r="L33" s="83">
        <f>'Operating Model'!S138</f>
        <v>69874011.468415663</v>
      </c>
      <c r="M33" s="83">
        <f>'Operating Model'!T138</f>
        <v>76128577.754561961</v>
      </c>
    </row>
    <row r="34" spans="2:13" s="37" customFormat="1" x14ac:dyDescent="0.2">
      <c r="B34" s="127" t="str">
        <f>B50</f>
        <v>Cash</v>
      </c>
      <c r="C34" s="126"/>
      <c r="D34" s="83">
        <f>-'Operating Model'!K119</f>
        <v>-9659619.1010918189</v>
      </c>
      <c r="E34" s="83">
        <f>-'Operating Model'!L119</f>
        <v>-11484186.221494699</v>
      </c>
      <c r="F34" s="83">
        <f>-'Operating Model'!M119</f>
        <v>-13590298.507875597</v>
      </c>
      <c r="G34" s="83">
        <f>-'Operating Model'!N119</f>
        <v>-15400461.018837525</v>
      </c>
      <c r="H34" s="83">
        <f>-'Operating Model'!O119</f>
        <v>-17486681.725141212</v>
      </c>
      <c r="I34" s="83">
        <f>-'Operating Model'!P119</f>
        <v>-19702548.717451073</v>
      </c>
      <c r="J34" s="83">
        <f>-'Operating Model'!Q119</f>
        <v>-22033663.955832321</v>
      </c>
      <c r="K34" s="83">
        <f>-'Operating Model'!R119</f>
        <v>-24474466.635131024</v>
      </c>
      <c r="L34" s="83">
        <f>-'Operating Model'!S119</f>
        <v>-27015894.704601478</v>
      </c>
      <c r="M34" s="83">
        <f>-'Operating Model'!T119</f>
        <v>-29659659.83439859</v>
      </c>
    </row>
    <row r="35" spans="2:13" x14ac:dyDescent="0.2">
      <c r="B35" s="127" t="str">
        <f t="shared" ref="B35:B37" si="11">B51</f>
        <v>Short term Investments</v>
      </c>
      <c r="C35" s="127"/>
      <c r="D35" s="83">
        <f>-'Operating Model'!K120</f>
        <v>-2950000</v>
      </c>
      <c r="E35" s="83">
        <f>-'Operating Model'!L120</f>
        <v>-2950000</v>
      </c>
      <c r="F35" s="83">
        <f>-'Operating Model'!M120</f>
        <v>-2950000</v>
      </c>
      <c r="G35" s="83">
        <f>-'Operating Model'!N120</f>
        <v>-2950000</v>
      </c>
      <c r="H35" s="83">
        <f>-'Operating Model'!O120</f>
        <v>-2950000</v>
      </c>
      <c r="I35" s="83">
        <f>-'Operating Model'!P120</f>
        <v>-2950000</v>
      </c>
      <c r="J35" s="83">
        <f>-'Operating Model'!Q120</f>
        <v>-2950000</v>
      </c>
      <c r="K35" s="83">
        <f>-'Operating Model'!R120</f>
        <v>-2950000</v>
      </c>
      <c r="L35" s="83">
        <f>-'Operating Model'!S120</f>
        <v>-2950000</v>
      </c>
      <c r="M35" s="83">
        <f>-'Operating Model'!T120</f>
        <v>-2950000</v>
      </c>
    </row>
    <row r="36" spans="2:13" x14ac:dyDescent="0.2">
      <c r="B36" s="127" t="str">
        <f t="shared" si="11"/>
        <v xml:space="preserve">Long term investments </v>
      </c>
      <c r="C36" s="127"/>
      <c r="D36" s="83">
        <f>-'Operating Model'!K125</f>
        <v>-1823000</v>
      </c>
      <c r="E36" s="83">
        <f>-'Operating Model'!L125</f>
        <v>-1823000</v>
      </c>
      <c r="F36" s="83">
        <f>-'Operating Model'!M125</f>
        <v>-1823000</v>
      </c>
      <c r="G36" s="83">
        <f>-'Operating Model'!N125</f>
        <v>-1823000</v>
      </c>
      <c r="H36" s="83">
        <f>-'Operating Model'!O125</f>
        <v>-1823000</v>
      </c>
      <c r="I36" s="83">
        <f>-'Operating Model'!P125</f>
        <v>-1823000</v>
      </c>
      <c r="J36" s="83">
        <f>-'Operating Model'!Q125</f>
        <v>-1823000</v>
      </c>
      <c r="K36" s="83">
        <f>-'Operating Model'!R125</f>
        <v>-1823000</v>
      </c>
      <c r="L36" s="83">
        <f>-'Operating Model'!S125</f>
        <v>-1823000</v>
      </c>
      <c r="M36" s="83">
        <f>-'Operating Model'!T125</f>
        <v>-1823000</v>
      </c>
    </row>
    <row r="37" spans="2:13" x14ac:dyDescent="0.2">
      <c r="B37" s="127" t="str">
        <f t="shared" si="11"/>
        <v>Long term debt</v>
      </c>
      <c r="C37" s="127"/>
      <c r="D37" s="83">
        <f>'Operating Model'!K134</f>
        <v>13400000</v>
      </c>
      <c r="E37" s="83">
        <f>'Operating Model'!L134</f>
        <v>13400000</v>
      </c>
      <c r="F37" s="83">
        <f>'Operating Model'!M134</f>
        <v>13400000</v>
      </c>
      <c r="G37" s="83">
        <f>'Operating Model'!N134</f>
        <v>13400000</v>
      </c>
      <c r="H37" s="83">
        <f>'Operating Model'!O134</f>
        <v>13400000</v>
      </c>
      <c r="I37" s="83">
        <f>'Operating Model'!P134</f>
        <v>13400000</v>
      </c>
      <c r="J37" s="83">
        <f>'Operating Model'!Q134</f>
        <v>13400000</v>
      </c>
      <c r="K37" s="83">
        <f>'Operating Model'!R134</f>
        <v>13400000</v>
      </c>
      <c r="L37" s="83">
        <f>'Operating Model'!S134</f>
        <v>13400000</v>
      </c>
      <c r="M37" s="83">
        <f>'Operating Model'!T134</f>
        <v>13400000</v>
      </c>
    </row>
    <row r="38" spans="2:13" x14ac:dyDescent="0.2">
      <c r="B38" s="127" t="s">
        <v>436</v>
      </c>
      <c r="C38" s="127"/>
      <c r="D38" s="180">
        <f>SUM(D33:D37)</f>
        <v>23600957.208722755</v>
      </c>
      <c r="E38" s="180">
        <f t="shared" ref="E38:M38" si="12">SUM(E33:E37)</f>
        <v>26823767.436733939</v>
      </c>
      <c r="F38" s="180">
        <f t="shared" si="12"/>
        <v>29973952.106808335</v>
      </c>
      <c r="G38" s="180">
        <f t="shared" si="12"/>
        <v>33613043.374818742</v>
      </c>
      <c r="H38" s="180">
        <f t="shared" si="12"/>
        <v>37150809.073227346</v>
      </c>
      <c r="I38" s="180">
        <f t="shared" si="12"/>
        <v>40713368.94122719</v>
      </c>
      <c r="J38" s="180">
        <f t="shared" si="12"/>
        <v>44292998.440488026</v>
      </c>
      <c r="K38" s="180">
        <f t="shared" si="12"/>
        <v>47884436.66969166</v>
      </c>
      <c r="L38" s="180">
        <f t="shared" si="12"/>
        <v>51485116.763814181</v>
      </c>
      <c r="M38" s="180">
        <f t="shared" si="12"/>
        <v>55095917.920163371</v>
      </c>
    </row>
    <row r="39" spans="2:13" x14ac:dyDescent="0.2">
      <c r="B39" s="127" t="s">
        <v>437</v>
      </c>
      <c r="C39" s="127"/>
      <c r="D39" s="181">
        <f>D11/D38</f>
        <v>0.2039568254475505</v>
      </c>
      <c r="E39" s="181">
        <f t="shared" ref="E39:M39" si="13">E11/E38</f>
        <v>0.18816809981367147</v>
      </c>
      <c r="F39" s="181">
        <f t="shared" si="13"/>
        <v>0.1753621590414623</v>
      </c>
      <c r="G39" s="181">
        <f t="shared" si="13"/>
        <v>0.16211723878161677</v>
      </c>
      <c r="H39" s="181">
        <f t="shared" si="13"/>
        <v>0.15138260902008738</v>
      </c>
      <c r="I39" s="181">
        <f t="shared" si="13"/>
        <v>0.14192946962093211</v>
      </c>
      <c r="J39" s="181">
        <f t="shared" si="13"/>
        <v>0.13344648016060007</v>
      </c>
      <c r="K39" s="181">
        <f t="shared" si="13"/>
        <v>0.12597497909629657</v>
      </c>
      <c r="L39" s="181">
        <f t="shared" si="13"/>
        <v>0.11929871290318018</v>
      </c>
      <c r="M39" s="181">
        <f t="shared" si="13"/>
        <v>0.11352140997468213</v>
      </c>
    </row>
    <row r="40" spans="2:13" x14ac:dyDescent="0.2">
      <c r="B40" s="127"/>
      <c r="C40" s="127"/>
    </row>
    <row r="41" spans="2:13" x14ac:dyDescent="0.2">
      <c r="B41" s="127"/>
      <c r="C41" s="127"/>
    </row>
    <row r="42" spans="2:13" x14ac:dyDescent="0.2">
      <c r="B42" s="127"/>
      <c r="C42" s="127"/>
    </row>
    <row r="43" spans="2:13" x14ac:dyDescent="0.2">
      <c r="B43" s="128" t="s">
        <v>28</v>
      </c>
      <c r="C43" s="128"/>
      <c r="D43" s="182">
        <f>WACC!D40</f>
        <v>7.5888197519733219E-2</v>
      </c>
      <c r="E43" s="114"/>
    </row>
    <row r="44" spans="2:13" x14ac:dyDescent="0.2">
      <c r="B44" s="128" t="s">
        <v>36</v>
      </c>
      <c r="C44" s="128"/>
      <c r="D44" s="183">
        <v>0.04</v>
      </c>
      <c r="E44" s="114"/>
    </row>
    <row r="45" spans="2:13" x14ac:dyDescent="0.2">
      <c r="B45" s="129"/>
      <c r="C45" s="129"/>
      <c r="D45" s="115"/>
      <c r="E45" s="114"/>
    </row>
    <row r="46" spans="2:13" ht="15" x14ac:dyDescent="0.25">
      <c r="B46" s="128" t="s">
        <v>37</v>
      </c>
      <c r="C46" s="128"/>
      <c r="D46" s="47">
        <f>(M17*(1+D44))/(D43-D44)</f>
        <v>76613369.436488703</v>
      </c>
      <c r="E46" s="114"/>
      <c r="F46"/>
      <c r="G46"/>
      <c r="H46"/>
      <c r="I46"/>
      <c r="J46"/>
      <c r="K46"/>
      <c r="L46"/>
    </row>
    <row r="47" spans="2:13" ht="15" x14ac:dyDescent="0.25">
      <c r="B47" s="129" t="s">
        <v>38</v>
      </c>
      <c r="C47" s="129"/>
      <c r="D47" s="47">
        <f>D46*M19</f>
        <v>38239895.891782008</v>
      </c>
      <c r="E47" s="195">
        <f>D47/D49</f>
        <v>0.72339250308822411</v>
      </c>
      <c r="F47"/>
      <c r="G47"/>
      <c r="H47"/>
      <c r="I47"/>
      <c r="J47"/>
      <c r="K47"/>
      <c r="L47"/>
    </row>
    <row r="48" spans="2:13" ht="15" x14ac:dyDescent="0.25">
      <c r="B48" s="129" t="s">
        <v>39</v>
      </c>
      <c r="C48" s="129"/>
      <c r="D48" s="47">
        <f>SUM(D21:M21)</f>
        <v>14621995.444570862</v>
      </c>
      <c r="E48" s="195">
        <f>D48/D49</f>
        <v>0.27660749691177594</v>
      </c>
      <c r="F48"/>
      <c r="G48"/>
      <c r="H48"/>
      <c r="I48"/>
      <c r="J48"/>
      <c r="K48"/>
      <c r="L48"/>
    </row>
    <row r="49" spans="2:23" ht="15" x14ac:dyDescent="0.25">
      <c r="B49" s="128" t="s">
        <v>40</v>
      </c>
      <c r="C49" s="128"/>
      <c r="D49" s="49">
        <f>+D47+D48</f>
        <v>52861891.33635287</v>
      </c>
      <c r="E49" s="114"/>
      <c r="F49"/>
      <c r="G49"/>
      <c r="H49"/>
      <c r="I49"/>
      <c r="J49"/>
      <c r="K49"/>
      <c r="L49"/>
    </row>
    <row r="50" spans="2:23" ht="15" x14ac:dyDescent="0.25">
      <c r="B50" s="129" t="str">
        <f>WACC!C7</f>
        <v>Cash</v>
      </c>
      <c r="C50" s="127"/>
      <c r="D50" s="90">
        <f>-WACC!D7</f>
        <v>8306000</v>
      </c>
      <c r="E50" s="114"/>
      <c r="F50"/>
      <c r="G50"/>
      <c r="H50"/>
      <c r="I50"/>
      <c r="J50"/>
      <c r="K50"/>
      <c r="L50"/>
    </row>
    <row r="51" spans="2:23" ht="15" x14ac:dyDescent="0.25">
      <c r="B51" s="129" t="str">
        <f>WACC!C8</f>
        <v>Short term Investments</v>
      </c>
      <c r="C51" s="127"/>
      <c r="D51" s="90">
        <f>-WACC!D8</f>
        <v>2950000</v>
      </c>
      <c r="E51" s="114"/>
      <c r="F51"/>
      <c r="G51"/>
      <c r="H51"/>
      <c r="I51"/>
      <c r="J51"/>
      <c r="K51"/>
      <c r="L51"/>
    </row>
    <row r="52" spans="2:23" ht="15" x14ac:dyDescent="0.25">
      <c r="B52" s="129" t="str">
        <f>WACC!C9</f>
        <v xml:space="preserve">Long term investments </v>
      </c>
      <c r="C52" s="127"/>
      <c r="D52" s="90">
        <f>-WACC!D9</f>
        <v>1823000</v>
      </c>
      <c r="E52" s="114"/>
      <c r="F52"/>
      <c r="G52"/>
      <c r="H52"/>
      <c r="I52"/>
      <c r="J52"/>
      <c r="K52"/>
      <c r="L52"/>
    </row>
    <row r="53" spans="2:23" ht="15" x14ac:dyDescent="0.25">
      <c r="B53" s="129" t="str">
        <f>WACC!C10</f>
        <v>Long term debt</v>
      </c>
      <c r="C53" s="127"/>
      <c r="D53" s="90">
        <f>-WACC!D10</f>
        <v>-13400000</v>
      </c>
      <c r="E53" s="114"/>
      <c r="F53"/>
      <c r="G53"/>
      <c r="H53"/>
      <c r="I53"/>
      <c r="J53"/>
      <c r="K53"/>
      <c r="L53"/>
    </row>
    <row r="54" spans="2:23" ht="15" x14ac:dyDescent="0.25">
      <c r="B54" s="128" t="s">
        <v>42</v>
      </c>
      <c r="C54" s="128"/>
      <c r="D54" s="49">
        <f>SUM(D49:D53)</f>
        <v>52540891.33635287</v>
      </c>
      <c r="E54" s="114"/>
      <c r="O54"/>
      <c r="P54"/>
      <c r="Q54"/>
      <c r="R54"/>
    </row>
    <row r="55" spans="2:23" ht="15" x14ac:dyDescent="0.25">
      <c r="B55" s="129"/>
      <c r="C55" s="129"/>
      <c r="D55" s="47"/>
      <c r="E55" s="114"/>
      <c r="O55"/>
      <c r="P55"/>
      <c r="Q55"/>
      <c r="R55"/>
    </row>
    <row r="56" spans="2:23" ht="15" x14ac:dyDescent="0.25">
      <c r="B56" s="127" t="s">
        <v>446</v>
      </c>
      <c r="C56" s="127"/>
      <c r="D56" s="200">
        <f>WACC!D4</f>
        <v>61.25</v>
      </c>
      <c r="K56"/>
      <c r="L56"/>
      <c r="M56"/>
      <c r="N56"/>
    </row>
    <row r="57" spans="2:23" ht="15" x14ac:dyDescent="0.25">
      <c r="B57" s="127" t="s">
        <v>221</v>
      </c>
      <c r="C57" s="127"/>
      <c r="D57" s="200">
        <f>WACC!D5</f>
        <v>855460.87399999995</v>
      </c>
      <c r="K57"/>
      <c r="L57"/>
      <c r="M57"/>
      <c r="N57"/>
    </row>
    <row r="58" spans="2:23" ht="15" customHeight="1" x14ac:dyDescent="0.25">
      <c r="B58" s="126" t="s">
        <v>192</v>
      </c>
      <c r="C58" s="127"/>
      <c r="D58" s="57">
        <f>D54/D57</f>
        <v>61.418228388026634</v>
      </c>
      <c r="O58"/>
      <c r="P58"/>
      <c r="Q58"/>
      <c r="R58"/>
      <c r="S58"/>
    </row>
    <row r="59" spans="2:23" ht="15" x14ac:dyDescent="0.25">
      <c r="B59" s="127"/>
      <c r="C59" s="127"/>
      <c r="O59"/>
      <c r="P59"/>
      <c r="Q59"/>
      <c r="R59"/>
      <c r="S59"/>
    </row>
    <row r="60" spans="2:23" ht="15" x14ac:dyDescent="0.25">
      <c r="B60" s="127" t="s">
        <v>90</v>
      </c>
      <c r="C60" s="127"/>
      <c r="D60" s="58">
        <f>(D58/D56)-1</f>
        <v>2.7465859269655279E-3</v>
      </c>
      <c r="O60"/>
      <c r="P60"/>
      <c r="Q60"/>
      <c r="R60"/>
      <c r="S60"/>
    </row>
    <row r="61" spans="2:23" ht="15" x14ac:dyDescent="0.25">
      <c r="B61" s="127"/>
      <c r="C61" s="127"/>
      <c r="S61"/>
      <c r="T61"/>
      <c r="U61"/>
      <c r="V61"/>
      <c r="W61"/>
    </row>
    <row r="62" spans="2:23" ht="15" x14ac:dyDescent="0.25">
      <c r="B62" s="127"/>
      <c r="C62" s="127"/>
      <c r="D62" s="188"/>
      <c r="E62" s="188"/>
      <c r="F62" s="188"/>
      <c r="G62" s="188"/>
      <c r="H62" s="188"/>
      <c r="I62" s="65" t="s">
        <v>28</v>
      </c>
      <c r="J62" s="188"/>
      <c r="K62" s="188"/>
      <c r="L62" s="188"/>
      <c r="S62"/>
      <c r="T62"/>
      <c r="U62"/>
      <c r="V62"/>
      <c r="W62"/>
    </row>
    <row r="63" spans="2:23" ht="15" x14ac:dyDescent="0.25">
      <c r="B63" s="127"/>
      <c r="C63" s="127"/>
      <c r="D63" s="188"/>
      <c r="E63" s="185">
        <f>D58</f>
        <v>61.418228388026634</v>
      </c>
      <c r="F63" s="187">
        <v>7.0888197519733201E-2</v>
      </c>
      <c r="G63" s="187">
        <f>F63+0.5%</f>
        <v>7.5888197519733205E-2</v>
      </c>
      <c r="H63" s="187">
        <f t="shared" ref="H63:L63" si="14">G63+0.5%</f>
        <v>8.088819751973321E-2</v>
      </c>
      <c r="I63" s="187">
        <f t="shared" si="14"/>
        <v>8.5888197519733214E-2</v>
      </c>
      <c r="J63" s="187">
        <f t="shared" si="14"/>
        <v>9.0888197519733219E-2</v>
      </c>
      <c r="K63" s="187">
        <f t="shared" si="14"/>
        <v>9.5888197519733223E-2</v>
      </c>
      <c r="L63" s="187">
        <f t="shared" si="14"/>
        <v>0.10088819751973323</v>
      </c>
      <c r="S63"/>
      <c r="T63"/>
      <c r="U63"/>
      <c r="V63"/>
      <c r="W63"/>
    </row>
    <row r="64" spans="2:23" ht="15" x14ac:dyDescent="0.25">
      <c r="D64" s="188"/>
      <c r="E64" s="186">
        <v>0.02</v>
      </c>
      <c r="F64" s="191">
        <f t="dataTable" ref="F64:L70" dt2D="1" dtr="1" r1="D43" r2="D44"/>
        <v>49.429645273655794</v>
      </c>
      <c r="G64" s="191">
        <v>44.869666950119331</v>
      </c>
      <c r="H64" s="191">
        <v>41.062981492625546</v>
      </c>
      <c r="I64" s="191">
        <v>37.837940661957902</v>
      </c>
      <c r="J64" s="191">
        <v>35.071330363758051</v>
      </c>
      <c r="K64" s="191">
        <v>32.672414605271321</v>
      </c>
      <c r="L64" s="191">
        <v>30.572897280492622</v>
      </c>
      <c r="S64"/>
      <c r="T64"/>
      <c r="U64"/>
      <c r="V64"/>
      <c r="W64"/>
    </row>
    <row r="65" spans="4:23" ht="15" x14ac:dyDescent="0.25">
      <c r="D65" s="188"/>
      <c r="E65" s="186">
        <f>E64+0.5%</f>
        <v>2.5000000000000001E-2</v>
      </c>
      <c r="F65" s="191">
        <v>53.126645973918002</v>
      </c>
      <c r="G65" s="191">
        <v>47.787327972209759</v>
      </c>
      <c r="H65" s="191">
        <v>43.407226055631241</v>
      </c>
      <c r="I65" s="191">
        <v>39.749899418356264</v>
      </c>
      <c r="J65" s="191">
        <v>36.650682952549737</v>
      </c>
      <c r="K65" s="191">
        <v>33.991374011966784</v>
      </c>
      <c r="L65" s="191">
        <v>31.684925975596741</v>
      </c>
      <c r="S65"/>
      <c r="T65"/>
      <c r="U65"/>
      <c r="V65"/>
      <c r="W65"/>
    </row>
    <row r="66" spans="4:23" ht="15" x14ac:dyDescent="0.25">
      <c r="D66" s="190" t="s">
        <v>36</v>
      </c>
      <c r="E66" s="186">
        <f t="shared" ref="E66:E70" si="15">E65+0.5%</f>
        <v>3.0000000000000002E-2</v>
      </c>
      <c r="F66" s="191">
        <v>57.727819742332215</v>
      </c>
      <c r="G66" s="191">
        <v>51.340808481617323</v>
      </c>
      <c r="H66" s="191">
        <v>46.21213628911913</v>
      </c>
      <c r="I66" s="191">
        <v>42.003962383022085</v>
      </c>
      <c r="J66" s="191">
        <v>38.489421210999296</v>
      </c>
      <c r="K66" s="191">
        <v>35.510514855755048</v>
      </c>
      <c r="L66" s="191">
        <v>32.953825452299519</v>
      </c>
      <c r="S66"/>
      <c r="T66"/>
      <c r="U66"/>
      <c r="V66"/>
      <c r="W66"/>
    </row>
    <row r="67" spans="4:23" ht="15" x14ac:dyDescent="0.25">
      <c r="D67" s="189"/>
      <c r="E67" s="186">
        <f t="shared" si="15"/>
        <v>3.5000000000000003E-2</v>
      </c>
      <c r="F67" s="191">
        <v>63.611079011386074</v>
      </c>
      <c r="G67" s="191">
        <v>55.763361419001846</v>
      </c>
      <c r="H67" s="191">
        <v>49.628295249969128</v>
      </c>
      <c r="I67" s="191">
        <v>44.700969502625156</v>
      </c>
      <c r="J67" s="191">
        <v>40.657162432516394</v>
      </c>
      <c r="K67" s="191">
        <v>37.279152466678838</v>
      </c>
      <c r="L67" s="191">
        <v>34.415308657874654</v>
      </c>
      <c r="S67"/>
      <c r="T67"/>
      <c r="U67"/>
      <c r="V67"/>
      <c r="W67"/>
    </row>
    <row r="68" spans="4:23" ht="15" x14ac:dyDescent="0.25">
      <c r="D68" s="189"/>
      <c r="E68" s="186">
        <f t="shared" si="15"/>
        <v>0.04</v>
      </c>
      <c r="F68" s="192">
        <v>71.399033193535885</v>
      </c>
      <c r="G68" s="193">
        <v>61.418228388026648</v>
      </c>
      <c r="H68" s="191">
        <v>53.879941996555182</v>
      </c>
      <c r="I68" s="191">
        <v>47.985710999557682</v>
      </c>
      <c r="J68" s="191">
        <v>43.250884790558608</v>
      </c>
      <c r="K68" s="191">
        <v>39.364250026109517</v>
      </c>
      <c r="L68" s="191">
        <v>36.116819202919238</v>
      </c>
      <c r="S68"/>
      <c r="T68"/>
      <c r="U68"/>
      <c r="V68"/>
      <c r="W68"/>
    </row>
    <row r="69" spans="4:23" ht="15" x14ac:dyDescent="0.25">
      <c r="D69" s="189"/>
      <c r="E69" s="186">
        <f t="shared" si="15"/>
        <v>4.4999999999999998E-2</v>
      </c>
      <c r="F69" s="191">
        <v>82.195290358623581</v>
      </c>
      <c r="G69" s="191">
        <v>68.903848661905869</v>
      </c>
      <c r="H69" s="191">
        <v>59.316280937350264</v>
      </c>
      <c r="I69" s="191">
        <v>52.073799598143971</v>
      </c>
      <c r="J69" s="191">
        <v>46.409833611663977</v>
      </c>
      <c r="K69" s="191">
        <v>41.85908848049371</v>
      </c>
      <c r="L69" s="191">
        <v>38.122778740873947</v>
      </c>
      <c r="S69"/>
      <c r="T69"/>
      <c r="U69"/>
      <c r="V69"/>
      <c r="W69"/>
    </row>
    <row r="70" spans="4:23" ht="15" x14ac:dyDescent="0.25">
      <c r="D70" s="189"/>
      <c r="E70" s="186">
        <f t="shared" si="15"/>
        <v>4.9999999999999996E-2</v>
      </c>
      <c r="F70" s="191">
        <v>98.160139574264406</v>
      </c>
      <c r="G70" s="191">
        <v>79.280987462006692</v>
      </c>
      <c r="H70" s="191">
        <v>66.512625115525111</v>
      </c>
      <c r="I70" s="191">
        <v>57.301006035217</v>
      </c>
      <c r="J70" s="191">
        <v>50.341364501123138</v>
      </c>
      <c r="K70" s="191">
        <v>44.897604522848411</v>
      </c>
      <c r="L70" s="191">
        <v>40.522927822912408</v>
      </c>
    </row>
    <row r="71" spans="4:23" ht="15" x14ac:dyDescent="0.25">
      <c r="D71"/>
      <c r="F71" s="194"/>
      <c r="G71" s="194"/>
      <c r="H71" s="194"/>
      <c r="I71" s="194"/>
      <c r="J71" s="194"/>
      <c r="K71" s="194"/>
      <c r="L71" s="194"/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scale="67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U37"/>
  <sheetViews>
    <sheetView zoomScale="80" zoomScaleNormal="80" workbookViewId="0">
      <selection activeCell="J30" sqref="J30"/>
    </sheetView>
  </sheetViews>
  <sheetFormatPr defaultRowHeight="15" x14ac:dyDescent="0.25"/>
  <cols>
    <col min="1" max="1" width="3.140625" customWidth="1"/>
    <col min="2" max="2" width="33.5703125" bestFit="1" customWidth="1"/>
    <col min="3" max="3" width="10.7109375" hidden="1" customWidth="1"/>
    <col min="4" max="4" width="12.7109375" hidden="1" customWidth="1"/>
    <col min="5" max="5" width="14" hidden="1" customWidth="1"/>
    <col min="6" max="6" width="14" customWidth="1"/>
    <col min="7" max="10" width="13.5703125" bestFit="1" customWidth="1"/>
    <col min="11" max="11" width="13.5703125" customWidth="1"/>
    <col min="12" max="15" width="12.7109375" bestFit="1" customWidth="1"/>
    <col min="16" max="17" width="14.42578125" bestFit="1" customWidth="1"/>
    <col min="18" max="19" width="15.140625" bestFit="1" customWidth="1"/>
    <col min="20" max="21" width="12.42578125" bestFit="1" customWidth="1"/>
  </cols>
  <sheetData>
    <row r="1" spans="1:2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1" x14ac:dyDescent="0.25">
      <c r="A2" s="2"/>
      <c r="B2" s="69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7.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21" x14ac:dyDescent="0.25">
      <c r="A4" s="2"/>
      <c r="B4" s="70"/>
      <c r="C4" s="61">
        <f>'Operating Model'!C5</f>
        <v>2019</v>
      </c>
      <c r="D4" s="61">
        <f>'Operating Model'!D5</f>
        <v>2020</v>
      </c>
      <c r="E4" s="61">
        <f>'Operating Model'!E5</f>
        <v>2021</v>
      </c>
      <c r="F4" s="61"/>
      <c r="G4" s="61">
        <f>'Operating Model'!F5</f>
        <v>2022</v>
      </c>
      <c r="H4" s="61">
        <f>'Operating Model'!G5</f>
        <v>2023</v>
      </c>
      <c r="I4" s="61">
        <f>'Operating Model'!H5</f>
        <v>2024</v>
      </c>
      <c r="J4" s="61">
        <f>'Operating Model'!I5</f>
        <v>2025</v>
      </c>
      <c r="K4" s="168" t="s">
        <v>313</v>
      </c>
      <c r="L4" s="67">
        <f>'Operating Model'!K5</f>
        <v>2026</v>
      </c>
      <c r="M4" s="67">
        <f>'Operating Model'!L5</f>
        <v>2027</v>
      </c>
      <c r="N4" s="67">
        <f>'Operating Model'!M5</f>
        <v>2028</v>
      </c>
      <c r="O4" s="67">
        <f>'Operating Model'!N5</f>
        <v>2029</v>
      </c>
      <c r="P4" s="67">
        <f>'Operating Model'!O5</f>
        <v>2030</v>
      </c>
      <c r="Q4" s="67">
        <f>'Operating Model'!P5</f>
        <v>2031</v>
      </c>
      <c r="R4" s="67">
        <f>'Operating Model'!Q5</f>
        <v>2032</v>
      </c>
      <c r="S4" s="67">
        <f>'Operating Model'!R5</f>
        <v>2033</v>
      </c>
      <c r="T4" s="67">
        <f>'Operating Model'!S5</f>
        <v>2034</v>
      </c>
      <c r="U4" s="67">
        <f>'Operating Model'!T5</f>
        <v>2035</v>
      </c>
    </row>
    <row r="5" spans="1:21" x14ac:dyDescent="0.25">
      <c r="A5" s="2"/>
      <c r="B5" s="2" t="s">
        <v>3</v>
      </c>
      <c r="D5" s="6">
        <f>C9</f>
        <v>0</v>
      </c>
      <c r="E5" s="6">
        <f t="shared" ref="E5:J5" si="0">D9</f>
        <v>1807000</v>
      </c>
      <c r="F5" s="6"/>
      <c r="G5" s="6"/>
      <c r="H5" s="6">
        <f>G9</f>
        <v>1730000</v>
      </c>
      <c r="I5" s="6">
        <f t="shared" si="0"/>
        <v>1488000</v>
      </c>
      <c r="J5" s="6">
        <f t="shared" si="0"/>
        <v>1508000</v>
      </c>
      <c r="K5" s="6"/>
      <c r="L5" s="6">
        <f>K9</f>
        <v>1731000</v>
      </c>
      <c r="M5" s="6">
        <f t="shared" ref="M5:U5" si="1">+L9</f>
        <v>1714365.5992118227</v>
      </c>
      <c r="N5" s="6">
        <f>+M9</f>
        <v>1584857.4120246815</v>
      </c>
      <c r="O5" s="6">
        <f t="shared" si="1"/>
        <v>1332774.4989475792</v>
      </c>
      <c r="P5" s="6">
        <f t="shared" si="1"/>
        <v>1527178.3058260456</v>
      </c>
      <c r="Q5" s="6">
        <f t="shared" si="1"/>
        <v>1583331.5907596783</v>
      </c>
      <c r="R5" s="6">
        <f t="shared" si="1"/>
        <v>1633878.1574388926</v>
      </c>
      <c r="S5" s="6">
        <f t="shared" si="1"/>
        <v>1678552.2997480389</v>
      </c>
      <c r="T5" s="6">
        <f t="shared" si="1"/>
        <v>1718323.5944321831</v>
      </c>
      <c r="U5" s="6">
        <f t="shared" si="1"/>
        <v>1753918.0252803164</v>
      </c>
    </row>
    <row r="6" spans="1:21" x14ac:dyDescent="0.25">
      <c r="A6" s="2"/>
      <c r="B6" s="9" t="s">
        <v>87</v>
      </c>
      <c r="C6" s="6"/>
      <c r="D6" s="6">
        <f>-'Operating Model'!D95</f>
        <v>866000</v>
      </c>
      <c r="E6" s="6">
        <f>-'Operating Model'!E95</f>
        <v>908000</v>
      </c>
      <c r="F6" s="6"/>
      <c r="G6" s="6"/>
      <c r="H6" s="83">
        <f>-'Operating Model'!G95</f>
        <v>623000</v>
      </c>
      <c r="I6" s="83">
        <f>-'Operating Model'!H95</f>
        <v>683000</v>
      </c>
      <c r="J6" s="83">
        <f>-'Operating Model'!I95</f>
        <v>852000</v>
      </c>
      <c r="K6" s="83"/>
      <c r="L6" s="83">
        <f>-'Operating Model'!K95</f>
        <v>700456.99901477841</v>
      </c>
      <c r="M6" s="83">
        <f>-'Operating Model'!L95</f>
        <v>734479.01576976804</v>
      </c>
      <c r="N6" s="83">
        <f>-'Operating Model'!M95</f>
        <v>764880.36234975886</v>
      </c>
      <c r="O6" s="83">
        <f>-'Operating Model'!N95</f>
        <v>792958.85288165964</v>
      </c>
      <c r="P6" s="83">
        <f>-'Operating Model'!O95</f>
        <v>818385.41367103206</v>
      </c>
      <c r="Q6" s="83">
        <f>-'Operating Model'!P95</f>
        <v>840859.11951707257</v>
      </c>
      <c r="R6" s="83">
        <f>-'Operating Model'!Q95</f>
        <v>860113.61499131343</v>
      </c>
      <c r="S6" s="83">
        <f>-'Operating Model'!R95</f>
        <v>877793.36862044991</v>
      </c>
      <c r="T6" s="83">
        <f>-'Operating Model'!S95</f>
        <v>893780.91776013328</v>
      </c>
      <c r="U6" s="83">
        <f>-'Operating Model'!T95</f>
        <v>910145.48206088529</v>
      </c>
    </row>
    <row r="7" spans="1:21" x14ac:dyDescent="0.25">
      <c r="A7" s="2"/>
      <c r="B7" s="9" t="s">
        <v>455</v>
      </c>
      <c r="C7" s="6"/>
      <c r="D7" s="6">
        <f t="shared" ref="D7" si="2">-(D5+D6-D9)</f>
        <v>941000</v>
      </c>
      <c r="E7" s="6">
        <f>-(E5+E6-E9)</f>
        <v>-806000</v>
      </c>
      <c r="F7" s="6"/>
      <c r="G7" s="6"/>
      <c r="H7" s="83">
        <f>-'Operating Model'!G80</f>
        <v>-1072000</v>
      </c>
      <c r="I7" s="83">
        <f>-'Operating Model'!H80</f>
        <v>-1032000</v>
      </c>
      <c r="J7" s="83">
        <f>-'Operating Model'!I80</f>
        <v>-963000</v>
      </c>
      <c r="K7" s="83"/>
      <c r="L7" s="6">
        <f>-L28</f>
        <v>-717091.39980295568</v>
      </c>
      <c r="M7" s="6">
        <f t="shared" ref="M7:U7" si="3">-M28</f>
        <v>-863987.20295690931</v>
      </c>
      <c r="N7" s="6">
        <f t="shared" si="3"/>
        <v>-1016963.2754268611</v>
      </c>
      <c r="O7" s="6">
        <f t="shared" si="3"/>
        <v>-598555.04600319301</v>
      </c>
      <c r="P7" s="6">
        <f t="shared" si="3"/>
        <v>-762232.12873739935</v>
      </c>
      <c r="Q7" s="6">
        <f t="shared" si="3"/>
        <v>-790312.55283785821</v>
      </c>
      <c r="R7" s="6">
        <f t="shared" si="3"/>
        <v>-815439.47268216731</v>
      </c>
      <c r="S7" s="6">
        <f t="shared" si="3"/>
        <v>-838022.07393630547</v>
      </c>
      <c r="T7" s="6">
        <f t="shared" si="3"/>
        <v>-858186.48691200011</v>
      </c>
      <c r="U7" s="6">
        <f t="shared" si="3"/>
        <v>-876538.50058997085</v>
      </c>
    </row>
    <row r="8" spans="1:21" x14ac:dyDescent="0.25">
      <c r="A8" s="2"/>
      <c r="B8" s="9" t="s">
        <v>216</v>
      </c>
      <c r="C8" s="6"/>
      <c r="D8" s="6"/>
      <c r="E8" s="6"/>
      <c r="F8" s="6"/>
      <c r="G8" s="6"/>
      <c r="H8" s="6">
        <f t="shared" ref="H8:J8" si="4">H9-SUM(H5:H7)</f>
        <v>207000</v>
      </c>
      <c r="I8" s="6">
        <f t="shared" si="4"/>
        <v>369000</v>
      </c>
      <c r="J8" s="6">
        <f t="shared" si="4"/>
        <v>303000</v>
      </c>
      <c r="K8" s="6"/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</row>
    <row r="9" spans="1:21" ht="15.75" thickBot="1" x14ac:dyDescent="0.3">
      <c r="A9" s="2"/>
      <c r="B9" s="32" t="s">
        <v>4</v>
      </c>
      <c r="C9" s="33"/>
      <c r="D9" s="33">
        <f>'Operating Model'!D172</f>
        <v>1807000</v>
      </c>
      <c r="E9" s="33">
        <f>'Operating Model'!E172</f>
        <v>1909000</v>
      </c>
      <c r="F9" s="33"/>
      <c r="G9" s="81">
        <f>'Operating Model'!F126</f>
        <v>1730000</v>
      </c>
      <c r="H9" s="81">
        <f>'Operating Model'!G126</f>
        <v>1488000</v>
      </c>
      <c r="I9" s="81">
        <f>'Operating Model'!H126</f>
        <v>1508000</v>
      </c>
      <c r="J9" s="81">
        <f>'Operating Model'!I126</f>
        <v>1700000</v>
      </c>
      <c r="K9" s="169">
        <f>'Operating Model'!J126</f>
        <v>1731000</v>
      </c>
      <c r="L9" s="33">
        <f>SUM(L5:L8)</f>
        <v>1714365.5992118227</v>
      </c>
      <c r="M9" s="33">
        <f t="shared" ref="M9:U9" si="5">SUM(M5:M8)</f>
        <v>1584857.4120246815</v>
      </c>
      <c r="N9" s="33">
        <f t="shared" si="5"/>
        <v>1332774.4989475792</v>
      </c>
      <c r="O9" s="33">
        <f t="shared" si="5"/>
        <v>1527178.3058260456</v>
      </c>
      <c r="P9" s="33">
        <f t="shared" si="5"/>
        <v>1583331.5907596783</v>
      </c>
      <c r="Q9" s="33">
        <f t="shared" si="5"/>
        <v>1633878.1574388926</v>
      </c>
      <c r="R9" s="33">
        <f t="shared" si="5"/>
        <v>1678552.2997480389</v>
      </c>
      <c r="S9" s="33">
        <f t="shared" si="5"/>
        <v>1718323.5944321831</v>
      </c>
      <c r="T9" s="33">
        <f t="shared" si="5"/>
        <v>1753918.0252803164</v>
      </c>
      <c r="U9" s="33">
        <f t="shared" si="5"/>
        <v>1787525.0067512305</v>
      </c>
    </row>
    <row r="10" spans="1:21" ht="15.75" thickTop="1" x14ac:dyDescent="0.25">
      <c r="A10" s="5"/>
      <c r="B10" s="10"/>
      <c r="C10" s="8"/>
      <c r="D10" s="8"/>
      <c r="E10" s="8"/>
      <c r="F10" s="8"/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21" x14ac:dyDescent="0.25">
      <c r="B11" s="9" t="s">
        <v>317</v>
      </c>
      <c r="F11" s="204">
        <v>3</v>
      </c>
      <c r="H11" s="202">
        <f>H7+H8</f>
        <v>-865000</v>
      </c>
      <c r="I11" s="202">
        <f t="shared" ref="I11:J11" si="6">I7+I8</f>
        <v>-663000</v>
      </c>
      <c r="J11" s="202">
        <f t="shared" si="6"/>
        <v>-660000</v>
      </c>
    </row>
    <row r="12" spans="1:21" x14ac:dyDescent="0.25">
      <c r="B12" s="9" t="s">
        <v>318</v>
      </c>
      <c r="F12" s="204">
        <v>5</v>
      </c>
      <c r="L12" s="205">
        <f>$F$12</f>
        <v>5</v>
      </c>
      <c r="M12" s="205">
        <f t="shared" ref="M12:U12" si="7">$F$12</f>
        <v>5</v>
      </c>
      <c r="N12" s="205">
        <f t="shared" si="7"/>
        <v>5</v>
      </c>
      <c r="O12" s="205">
        <f t="shared" si="7"/>
        <v>5</v>
      </c>
      <c r="P12" s="205">
        <f t="shared" si="7"/>
        <v>5</v>
      </c>
      <c r="Q12" s="205">
        <f t="shared" si="7"/>
        <v>5</v>
      </c>
      <c r="R12" s="205">
        <f t="shared" si="7"/>
        <v>5</v>
      </c>
      <c r="S12" s="205">
        <f t="shared" si="7"/>
        <v>5</v>
      </c>
      <c r="T12" s="205">
        <f t="shared" si="7"/>
        <v>5</v>
      </c>
      <c r="U12" s="205">
        <f t="shared" si="7"/>
        <v>5</v>
      </c>
    </row>
    <row r="14" spans="1:21" x14ac:dyDescent="0.25">
      <c r="B14" t="s">
        <v>319</v>
      </c>
      <c r="L14" s="6">
        <f>$K$9/$F$11</f>
        <v>577000</v>
      </c>
      <c r="M14" s="6">
        <f>MIN($L$14,MAX(0,$K$9-SUM($L$14:L14)))</f>
        <v>577000</v>
      </c>
      <c r="N14" s="6">
        <f>MIN($L$14,MAX(0,$K$9-SUM($L$14:M14)))</f>
        <v>577000</v>
      </c>
      <c r="O14" s="6">
        <f>MIN($L$14,MAX(0,$K$9-SUM($L$14:N14)))</f>
        <v>0</v>
      </c>
      <c r="P14" s="6">
        <f>MIN($L$14,MAX(0,$K$9-SUM($L$14:O14)))</f>
        <v>0</v>
      </c>
      <c r="Q14" s="6">
        <f>MIN($L$14,MAX(0,$K$9-SUM($L$14:P14)))</f>
        <v>0</v>
      </c>
      <c r="R14" s="6">
        <f>MIN($L$14,MAX(0,$K$9-SUM($L$14:Q14)))</f>
        <v>0</v>
      </c>
      <c r="S14" s="6">
        <f>MIN($L$14,MAX(0,$K$9-SUM($L$14:R14)))</f>
        <v>0</v>
      </c>
      <c r="T14" s="6">
        <f>MIN($L$14,MAX(0,$K$9-SUM($L$14:S14)))</f>
        <v>0</v>
      </c>
      <c r="U14" s="6">
        <f>MIN($L$14,MAX(0,$K$9-SUM($L$14:T14)))</f>
        <v>0</v>
      </c>
    </row>
    <row r="15" spans="1:21" x14ac:dyDescent="0.25"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25">
      <c r="B16" s="197" t="s">
        <v>31</v>
      </c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2:21" x14ac:dyDescent="0.25">
      <c r="B17" s="198">
        <v>2026</v>
      </c>
      <c r="C17" s="198"/>
      <c r="D17" s="198"/>
      <c r="E17" s="198"/>
      <c r="F17" s="198"/>
      <c r="G17" s="198"/>
      <c r="H17" s="198"/>
      <c r="I17" s="198"/>
      <c r="J17" s="198"/>
      <c r="K17" s="198"/>
      <c r="L17" s="199">
        <f>L6/L12</f>
        <v>140091.39980295568</v>
      </c>
      <c r="M17" s="199">
        <f>MIN($L$17,MAX(0,$L$6-SUM($L$17:L17)))</f>
        <v>140091.39980295568</v>
      </c>
      <c r="N17" s="199">
        <f>MIN($L$17,MAX(0,$L$6-SUM($L$17:M17)))</f>
        <v>140091.39980295568</v>
      </c>
      <c r="O17" s="199">
        <f>MIN($L$17,MAX(0,$L$6-SUM($L$17:N17)))</f>
        <v>140091.39980295568</v>
      </c>
      <c r="P17" s="199">
        <f>MIN($L$17,MAX(0,$L$6-SUM($L$17:O17)))</f>
        <v>140091.39980295568</v>
      </c>
      <c r="Q17" s="199">
        <f>MIN($L$17,MAX(0,$L$6-SUM($L$17:P17)))</f>
        <v>0</v>
      </c>
      <c r="R17" s="199">
        <f>MIN($L$17,MAX(0,$L$6-SUM($L$17:Q17)))</f>
        <v>0</v>
      </c>
      <c r="S17" s="199">
        <f>MIN($L$17,MAX(0,$L$6-SUM($L$17:R17)))</f>
        <v>0</v>
      </c>
      <c r="T17" s="199">
        <f>MIN($L$17,MAX(0,$L$6-SUM($L$17:S17)))</f>
        <v>0</v>
      </c>
      <c r="U17" s="199">
        <f>MIN($L$17,MAX(0,$L$6-SUM($L$17:T17)))</f>
        <v>0</v>
      </c>
    </row>
    <row r="18" spans="2:21" x14ac:dyDescent="0.25">
      <c r="B18" s="196">
        <f>B17+1</f>
        <v>2027</v>
      </c>
      <c r="C18" s="196"/>
      <c r="D18" s="196"/>
      <c r="E18" s="196"/>
      <c r="F18" s="196"/>
      <c r="G18" s="196"/>
      <c r="H18" s="196"/>
      <c r="I18" s="196"/>
      <c r="J18" s="196"/>
      <c r="K18" s="196"/>
      <c r="L18" s="47"/>
      <c r="M18" s="47">
        <f>M6/M12</f>
        <v>146895.8031539536</v>
      </c>
      <c r="N18" s="47">
        <f>MIN($M$18,MAX(0,$M$6-SUM($M$18:M18)))</f>
        <v>146895.8031539536</v>
      </c>
      <c r="O18" s="47">
        <f>MIN($M$18,MAX(0,$M$6-SUM($M$18:N18)))</f>
        <v>146895.8031539536</v>
      </c>
      <c r="P18" s="47">
        <f>MIN($M$18,MAX(0,$M$6-SUM($M$18:O18)))</f>
        <v>146895.8031539536</v>
      </c>
      <c r="Q18" s="47">
        <f>MIN($M$18,MAX(0,$M$6-SUM($M$18:P18)))</f>
        <v>146895.8031539536</v>
      </c>
      <c r="R18" s="47">
        <f>MIN($M$18,MAX(0,$M$6-SUM($M$18:Q18)))</f>
        <v>0</v>
      </c>
      <c r="S18" s="47">
        <f>MIN($M$18,MAX(0,$M$6-SUM($M$18:R18)))</f>
        <v>0</v>
      </c>
      <c r="T18" s="47">
        <f>MIN($M$18,MAX(0,$M$6-SUM($M$18:S18)))</f>
        <v>0</v>
      </c>
      <c r="U18" s="47">
        <f>MIN($M$18,MAX(0,$M$6-SUM($M$18:T18)))</f>
        <v>0</v>
      </c>
    </row>
    <row r="19" spans="2:21" x14ac:dyDescent="0.25">
      <c r="B19">
        <f t="shared" ref="B19:B27" si="8">B18+1</f>
        <v>2028</v>
      </c>
      <c r="L19" s="6"/>
      <c r="M19" s="6"/>
      <c r="N19" s="6">
        <f>N6/N12</f>
        <v>152976.07246995176</v>
      </c>
      <c r="O19" s="6">
        <f>MIN($N$19,MAX(0,$N$6-SUM($N$19:N19)))</f>
        <v>152976.07246995176</v>
      </c>
      <c r="P19" s="6">
        <f>MIN($N$19,MAX(0,$N$6-SUM($N$19:O19)))</f>
        <v>152976.07246995176</v>
      </c>
      <c r="Q19" s="6">
        <f>MIN($N$19,MAX(0,$N$6-SUM($N$19:P19)))</f>
        <v>152976.07246995176</v>
      </c>
      <c r="R19" s="6">
        <f>MIN($N$19,MAX(0,$N$6-SUM($N$19:Q19)))</f>
        <v>152976.07246995176</v>
      </c>
      <c r="S19" s="6">
        <f>MIN($N$19,MAX(0,$N$6-SUM($N$19:R19)))</f>
        <v>0</v>
      </c>
      <c r="T19" s="6">
        <f>MIN($N$19,MAX(0,$N$6-SUM($N$19:S19)))</f>
        <v>0</v>
      </c>
      <c r="U19" s="6">
        <f>MIN($N$19,MAX(0,$N$6-SUM($N$19:T19)))</f>
        <v>0</v>
      </c>
    </row>
    <row r="20" spans="2:21" x14ac:dyDescent="0.25">
      <c r="B20">
        <f t="shared" si="8"/>
        <v>2029</v>
      </c>
      <c r="L20" s="6"/>
      <c r="M20" s="6"/>
      <c r="N20" s="6"/>
      <c r="O20" s="6">
        <f>O6/O12</f>
        <v>158591.77057633194</v>
      </c>
      <c r="P20" s="6">
        <f>MIN($O$20,MAX(0,$O$6-SUM($O$20:O20)))</f>
        <v>158591.77057633194</v>
      </c>
      <c r="Q20" s="6">
        <f>MIN($O$20,MAX(0,$O$6-SUM($O$20:P20)))</f>
        <v>158591.77057633194</v>
      </c>
      <c r="R20" s="6">
        <f>MIN($O$20,MAX(0,$O$6-SUM($O$20:Q20)))</f>
        <v>158591.77057633194</v>
      </c>
      <c r="S20" s="6">
        <f>MIN($O$20,MAX(0,$O$6-SUM($O$20:R20)))</f>
        <v>158591.77057633188</v>
      </c>
      <c r="T20" s="6">
        <f>MIN($O$20,MAX(0,$O$6-SUM($O$20:S20)))</f>
        <v>0</v>
      </c>
      <c r="U20" s="6">
        <f>MIN($O$20,MAX(0,$O$6-SUM($O$20:T20)))</f>
        <v>0</v>
      </c>
    </row>
    <row r="21" spans="2:21" x14ac:dyDescent="0.25">
      <c r="B21">
        <f t="shared" si="8"/>
        <v>2030</v>
      </c>
      <c r="L21" s="6"/>
      <c r="M21" s="6"/>
      <c r="N21" s="6"/>
      <c r="O21" s="6"/>
      <c r="P21" s="6">
        <f>P6/P12</f>
        <v>163677.0827342064</v>
      </c>
      <c r="Q21" s="6">
        <f>MIN($P$21,MAX(0,$P$6-SUM(P$21:$P21)))</f>
        <v>163677.0827342064</v>
      </c>
      <c r="R21" s="6">
        <f>MIN($P$21,MAX(0,$P$6-SUM($P$21:Q21)))</f>
        <v>163677.0827342064</v>
      </c>
      <c r="S21" s="6">
        <f>MIN($P$21,MAX(0,$P$6-SUM($P$21:R21)))</f>
        <v>163677.0827342064</v>
      </c>
      <c r="T21" s="6">
        <f>MIN($P$21,MAX(0,$P$6-SUM($P$21:S21)))</f>
        <v>163677.0827342064</v>
      </c>
      <c r="U21" s="6">
        <f>MIN($P$21,MAX(0,$P$6-SUM($P$21:T21)))</f>
        <v>0</v>
      </c>
    </row>
    <row r="22" spans="2:21" x14ac:dyDescent="0.25">
      <c r="B22">
        <f t="shared" si="8"/>
        <v>2031</v>
      </c>
      <c r="L22" s="6"/>
      <c r="M22" s="6"/>
      <c r="N22" s="6"/>
      <c r="O22" s="6"/>
      <c r="P22" s="6"/>
      <c r="Q22" s="6">
        <f>Q6/Q12</f>
        <v>168171.82390341451</v>
      </c>
      <c r="R22" s="6">
        <f>MIN($Q$22,MAX(0,$Q$6-SUM($Q$22:Q22)))</f>
        <v>168171.82390341451</v>
      </c>
      <c r="S22" s="6">
        <f>MIN($Q$22,MAX(0,$Q$6-SUM($Q$22:R22)))</f>
        <v>168171.82390341451</v>
      </c>
      <c r="T22" s="6">
        <f>MIN($Q$22,MAX(0,$Q$6-SUM($Q$22:S22)))</f>
        <v>168171.82390341451</v>
      </c>
      <c r="U22" s="6">
        <f>MIN($Q$22,MAX(0,$Q$6-SUM($Q$22:T22)))</f>
        <v>168171.82390341451</v>
      </c>
    </row>
    <row r="23" spans="2:21" x14ac:dyDescent="0.25">
      <c r="B23">
        <f t="shared" si="8"/>
        <v>2032</v>
      </c>
      <c r="L23" s="6"/>
      <c r="M23" s="6"/>
      <c r="N23" s="6"/>
      <c r="O23" s="6"/>
      <c r="P23" s="6"/>
      <c r="Q23" s="6"/>
      <c r="R23" s="6">
        <f>R6/R12</f>
        <v>172022.72299826267</v>
      </c>
      <c r="S23" s="6">
        <f>MIN($R$23,MAX(0,$R$6-SUM($R$23:R23)))</f>
        <v>172022.72299826267</v>
      </c>
      <c r="T23" s="6">
        <f>MIN($R$23,MAX(0,$R$6-SUM($R$23:S23)))</f>
        <v>172022.72299826267</v>
      </c>
      <c r="U23" s="6">
        <f>MIN($R$23,MAX(0,$R$6-SUM($R$23:T23)))</f>
        <v>172022.72299826267</v>
      </c>
    </row>
    <row r="24" spans="2:21" x14ac:dyDescent="0.25">
      <c r="B24">
        <f t="shared" si="8"/>
        <v>2033</v>
      </c>
      <c r="L24" s="6"/>
      <c r="M24" s="6"/>
      <c r="N24" s="6"/>
      <c r="O24" s="6"/>
      <c r="P24" s="6"/>
      <c r="Q24" s="6"/>
      <c r="R24" s="6"/>
      <c r="S24" s="6">
        <f>S6/S12</f>
        <v>175558.67372408998</v>
      </c>
      <c r="T24" s="6">
        <f>MIN($S$24,MAX(0,$S$6-SUM($S$24:S24)))</f>
        <v>175558.67372408998</v>
      </c>
      <c r="U24" s="6">
        <f>MIN($S$24,MAX(0,$S$6-SUM($S$24:T24)))</f>
        <v>175558.67372408998</v>
      </c>
    </row>
    <row r="25" spans="2:21" x14ac:dyDescent="0.25">
      <c r="B25">
        <f t="shared" si="8"/>
        <v>2034</v>
      </c>
      <c r="L25" s="6"/>
      <c r="M25" s="6"/>
      <c r="N25" s="6"/>
      <c r="O25" s="6"/>
      <c r="P25" s="6"/>
      <c r="Q25" s="6"/>
      <c r="R25" s="6"/>
      <c r="S25" s="6"/>
      <c r="T25" s="6">
        <f>T6/T12</f>
        <v>178756.18355202666</v>
      </c>
      <c r="U25" s="6">
        <f>MIN($T$25,MAX(0,$T$6-SUM($T$25:T25)))</f>
        <v>178756.18355202666</v>
      </c>
    </row>
    <row r="26" spans="2:21" x14ac:dyDescent="0.25">
      <c r="B26">
        <f t="shared" si="8"/>
        <v>2035</v>
      </c>
      <c r="L26" s="6"/>
      <c r="M26" s="6"/>
      <c r="N26" s="6"/>
      <c r="O26" s="6"/>
      <c r="P26" s="6"/>
      <c r="Q26" s="6"/>
      <c r="R26" s="6"/>
      <c r="S26" s="6"/>
      <c r="T26" s="6"/>
      <c r="U26" s="6">
        <f>U6/U12</f>
        <v>182029.09641217705</v>
      </c>
    </row>
    <row r="27" spans="2:21" x14ac:dyDescent="0.25">
      <c r="B27">
        <f t="shared" si="8"/>
        <v>2036</v>
      </c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 s="130" customFormat="1" x14ac:dyDescent="0.25">
      <c r="B28" s="179" t="s">
        <v>320</v>
      </c>
      <c r="C28" s="179"/>
      <c r="D28" s="179"/>
      <c r="E28" s="179"/>
      <c r="F28" s="179"/>
      <c r="G28" s="179"/>
      <c r="H28" s="179"/>
      <c r="I28" s="179"/>
      <c r="J28" s="179"/>
      <c r="K28" s="179"/>
      <c r="L28" s="29">
        <f>SUM(L14:L27)</f>
        <v>717091.39980295568</v>
      </c>
      <c r="M28" s="29">
        <f t="shared" ref="M28:U28" si="9">SUM(M14:M27)</f>
        <v>863987.20295690931</v>
      </c>
      <c r="N28" s="29">
        <f t="shared" si="9"/>
        <v>1016963.2754268611</v>
      </c>
      <c r="O28" s="29">
        <f>SUM(O14:O27)</f>
        <v>598555.04600319301</v>
      </c>
      <c r="P28" s="29">
        <f t="shared" si="9"/>
        <v>762232.12873739935</v>
      </c>
      <c r="Q28" s="29">
        <f t="shared" si="9"/>
        <v>790312.55283785821</v>
      </c>
      <c r="R28" s="29">
        <f t="shared" si="9"/>
        <v>815439.47268216731</v>
      </c>
      <c r="S28" s="29">
        <f t="shared" si="9"/>
        <v>838022.07393630547</v>
      </c>
      <c r="T28" s="29">
        <f t="shared" si="9"/>
        <v>858186.48691200011</v>
      </c>
      <c r="U28" s="29">
        <f t="shared" si="9"/>
        <v>876538.50058997085</v>
      </c>
    </row>
    <row r="29" spans="2:21" x14ac:dyDescent="0.25"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1" x14ac:dyDescent="0.25"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1" x14ac:dyDescent="0.25"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1" x14ac:dyDescent="0.25"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2:21" x14ac:dyDescent="0.25"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12:21" x14ac:dyDescent="0.25"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12:21" x14ac:dyDescent="0.25"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12:21" x14ac:dyDescent="0.25"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12:21" x14ac:dyDescent="0.25">
      <c r="L37" s="6"/>
      <c r="M37" s="6"/>
      <c r="N37" s="6"/>
      <c r="O37" s="6"/>
      <c r="P37" s="6"/>
      <c r="Q37" s="6"/>
      <c r="R37" s="6"/>
      <c r="S37" s="6"/>
      <c r="T37" s="6"/>
      <c r="U3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K24"/>
  <sheetViews>
    <sheetView workbookViewId="0"/>
  </sheetViews>
  <sheetFormatPr defaultColWidth="8.7109375" defaultRowHeight="12.75" x14ac:dyDescent="0.2"/>
  <cols>
    <col min="1" max="2" width="8.7109375" style="1"/>
    <col min="3" max="3" width="26.28515625" style="1" bestFit="1" customWidth="1"/>
    <col min="4" max="5" width="8.7109375" style="1"/>
    <col min="6" max="6" width="5.42578125" style="1" bestFit="1" customWidth="1"/>
    <col min="7" max="7" width="42.7109375" style="1" bestFit="1" customWidth="1"/>
    <col min="8" max="8" width="5.42578125" style="1" bestFit="1" customWidth="1"/>
    <col min="9" max="9" width="12.7109375" style="1" bestFit="1" customWidth="1"/>
    <col min="10" max="16384" width="8.7109375" style="1"/>
  </cols>
  <sheetData>
    <row r="4" spans="3:10" x14ac:dyDescent="0.2">
      <c r="C4" s="1" t="s">
        <v>51</v>
      </c>
      <c r="D4" s="1" t="e">
        <f>+DCF!#REF!</f>
        <v>#REF!</v>
      </c>
    </row>
    <row r="6" spans="3:10" x14ac:dyDescent="0.2">
      <c r="C6" s="42" t="s">
        <v>50</v>
      </c>
      <c r="D6" s="41" t="e">
        <f>+G6*J6</f>
        <v>#REF!</v>
      </c>
      <c r="E6" s="41" t="e">
        <f>+F6-D6</f>
        <v>#REF!</v>
      </c>
      <c r="F6" s="41" t="e">
        <f>+H6*J6</f>
        <v>#REF!</v>
      </c>
      <c r="G6" s="40">
        <v>10</v>
      </c>
      <c r="H6" s="40">
        <v>12</v>
      </c>
      <c r="I6" s="1" t="s">
        <v>44</v>
      </c>
      <c r="J6" s="1" t="e">
        <f>+DCF!#REF!</f>
        <v>#REF!</v>
      </c>
    </row>
    <row r="7" spans="3:10" x14ac:dyDescent="0.2">
      <c r="C7" s="1" t="s">
        <v>45</v>
      </c>
      <c r="D7" s="41">
        <v>550</v>
      </c>
      <c r="E7" s="41">
        <f>+F7-D7</f>
        <v>200</v>
      </c>
      <c r="F7" s="41">
        <v>750</v>
      </c>
      <c r="G7" s="1" t="s">
        <v>47</v>
      </c>
    </row>
    <row r="8" spans="3:10" x14ac:dyDescent="0.2">
      <c r="C8" s="1" t="s">
        <v>43</v>
      </c>
      <c r="D8" s="41">
        <v>510</v>
      </c>
      <c r="E8" s="41">
        <f>+F8-D8</f>
        <v>70</v>
      </c>
      <c r="F8" s="41">
        <v>580</v>
      </c>
      <c r="G8" s="1" t="s">
        <v>48</v>
      </c>
    </row>
    <row r="9" spans="3:10" x14ac:dyDescent="0.2">
      <c r="C9" s="1" t="s">
        <v>46</v>
      </c>
      <c r="D9" s="41">
        <v>440</v>
      </c>
      <c r="E9" s="41">
        <f>+F9-D9</f>
        <v>50</v>
      </c>
      <c r="F9" s="41">
        <v>490</v>
      </c>
      <c r="G9" s="1" t="s">
        <v>49</v>
      </c>
    </row>
    <row r="14" spans="3:10" x14ac:dyDescent="0.2">
      <c r="C14" s="1" t="str">
        <f>+C9</f>
        <v>LBO (5 year exit)</v>
      </c>
      <c r="D14" s="1">
        <f>+D9</f>
        <v>440</v>
      </c>
      <c r="E14" s="1">
        <f>+E9</f>
        <v>50</v>
      </c>
    </row>
    <row r="15" spans="3:10" x14ac:dyDescent="0.2">
      <c r="C15" s="1" t="str">
        <f>+C8</f>
        <v>FCFE</v>
      </c>
      <c r="D15" s="1">
        <f>+D8</f>
        <v>510</v>
      </c>
      <c r="E15" s="1">
        <f>+E8</f>
        <v>70</v>
      </c>
    </row>
    <row r="16" spans="3:10" x14ac:dyDescent="0.2">
      <c r="C16" s="1" t="str">
        <f>+C7</f>
        <v>DCF</v>
      </c>
      <c r="D16" s="1">
        <f>+D7</f>
        <v>550</v>
      </c>
      <c r="E16" s="1">
        <f>+E7</f>
        <v>200</v>
      </c>
    </row>
    <row r="17" spans="3:11" x14ac:dyDescent="0.2">
      <c r="C17" s="1" t="str">
        <f>+C6</f>
        <v>Trading Comps FY+1 EBITDA</v>
      </c>
      <c r="D17" s="1" t="e">
        <f>+D6</f>
        <v>#REF!</v>
      </c>
      <c r="E17" s="1" t="e">
        <f>+E6</f>
        <v>#REF!</v>
      </c>
    </row>
    <row r="21" spans="3:11" x14ac:dyDescent="0.2">
      <c r="C21" s="42" t="s">
        <v>50</v>
      </c>
      <c r="D21" s="40" t="e">
        <f>D6/$D$4</f>
        <v>#REF!</v>
      </c>
      <c r="F21" s="40" t="e">
        <f>F6/$D$4</f>
        <v>#REF!</v>
      </c>
      <c r="J21" s="1">
        <v>400</v>
      </c>
      <c r="K21" s="1">
        <v>750</v>
      </c>
    </row>
    <row r="22" spans="3:11" x14ac:dyDescent="0.2">
      <c r="C22" s="1" t="s">
        <v>45</v>
      </c>
      <c r="D22" s="40" t="e">
        <f>D7/$D$4</f>
        <v>#REF!</v>
      </c>
      <c r="F22" s="40" t="e">
        <f>F7/$D$4</f>
        <v>#REF!</v>
      </c>
      <c r="J22" s="1" t="e">
        <f>+J21/DCF!#REF!</f>
        <v>#REF!</v>
      </c>
      <c r="K22" s="1" t="e">
        <f>+K21/DCF!#REF!</f>
        <v>#REF!</v>
      </c>
    </row>
    <row r="23" spans="3:11" x14ac:dyDescent="0.2">
      <c r="C23" s="1" t="s">
        <v>43</v>
      </c>
      <c r="D23" s="40" t="e">
        <f>D8/$D$4</f>
        <v>#REF!</v>
      </c>
      <c r="F23" s="40" t="e">
        <f>F8/$D$4</f>
        <v>#REF!</v>
      </c>
    </row>
    <row r="24" spans="3:11" x14ac:dyDescent="0.2">
      <c r="C24" s="1" t="s">
        <v>46</v>
      </c>
      <c r="D24" s="40" t="e">
        <f>D9/$D$4</f>
        <v>#REF!</v>
      </c>
      <c r="F24" s="40" t="e">
        <f>F9/$D$4</f>
        <v>#REF!</v>
      </c>
    </row>
  </sheetData>
  <pageMargins left="0.75" right="0.75" top="1" bottom="1" header="0.3" footer="0.3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4"/>
  <sheetViews>
    <sheetView workbookViewId="0"/>
  </sheetViews>
  <sheetFormatPr defaultColWidth="8.7109375" defaultRowHeight="15" x14ac:dyDescent="0.25"/>
  <sheetData>
    <row r="2" spans="1:8" x14ac:dyDescent="0.25">
      <c r="C2">
        <v>300</v>
      </c>
      <c r="D2">
        <f>+C2+100</f>
        <v>400</v>
      </c>
      <c r="E2">
        <f>+D2+100</f>
        <v>500</v>
      </c>
      <c r="F2">
        <f>+E2+100</f>
        <v>600</v>
      </c>
      <c r="G2">
        <f>+F2+100</f>
        <v>700</v>
      </c>
      <c r="H2">
        <f>+G2+100</f>
        <v>800</v>
      </c>
    </row>
    <row r="3" spans="1:8" x14ac:dyDescent="0.25">
      <c r="A3" t="s">
        <v>51</v>
      </c>
      <c r="B3" t="e">
        <f>+DCF!#REF!</f>
        <v>#REF!</v>
      </c>
      <c r="C3" s="40" t="e">
        <f t="shared" ref="C3:H3" si="0">C2/$B$3</f>
        <v>#REF!</v>
      </c>
      <c r="D3" s="40" t="e">
        <f t="shared" si="0"/>
        <v>#REF!</v>
      </c>
      <c r="E3" s="40" t="e">
        <f t="shared" si="0"/>
        <v>#REF!</v>
      </c>
      <c r="F3" s="40" t="e">
        <f t="shared" si="0"/>
        <v>#REF!</v>
      </c>
      <c r="G3" s="40" t="e">
        <f t="shared" si="0"/>
        <v>#REF!</v>
      </c>
      <c r="H3" s="40" t="e">
        <f t="shared" si="0"/>
        <v>#REF!</v>
      </c>
    </row>
    <row r="4" spans="1:8" x14ac:dyDescent="0.25">
      <c r="A4" t="s">
        <v>52</v>
      </c>
      <c r="B4" t="e">
        <f>+DCF!#REF!</f>
        <v>#REF!</v>
      </c>
      <c r="C4" s="40" t="e">
        <f t="shared" ref="C4:H4" si="1">C2/$B$4</f>
        <v>#REF!</v>
      </c>
      <c r="D4" s="40" t="e">
        <f t="shared" si="1"/>
        <v>#REF!</v>
      </c>
      <c r="E4" s="40" t="e">
        <f t="shared" si="1"/>
        <v>#REF!</v>
      </c>
      <c r="F4" s="40" t="e">
        <f t="shared" si="1"/>
        <v>#REF!</v>
      </c>
      <c r="G4" s="40" t="e">
        <f t="shared" si="1"/>
        <v>#REF!</v>
      </c>
      <c r="H4" s="40" t="e">
        <f t="shared" si="1"/>
        <v>#REF!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Operating Model</vt:lpstr>
      <vt:lpstr>Quarterly Data</vt:lpstr>
      <vt:lpstr>WACC</vt:lpstr>
      <vt:lpstr>DCF</vt:lpstr>
      <vt:lpstr>PPE Schedule</vt:lpstr>
      <vt:lpstr>Football Field</vt:lpstr>
      <vt:lpstr>Charts</vt:lpstr>
      <vt:lpstr>DCF!Print_Area</vt:lpstr>
      <vt:lpstr>'Operating Model'!Print_Area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cp:lastPrinted>2026-08-18T20:21:24Z</cp:lastPrinted>
  <dcterms:created xsi:type="dcterms:W3CDTF">2016-03-20T09:22:44Z</dcterms:created>
  <dcterms:modified xsi:type="dcterms:W3CDTF">2026-08-22T15:18:37Z</dcterms:modified>
</cp:coreProperties>
</file>