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ROJECTS\Serious_models\"/>
    </mc:Choice>
  </mc:AlternateContent>
  <bookViews>
    <workbookView xWindow="0" yWindow="0" windowWidth="24000" windowHeight="9630" activeTab="1"/>
  </bookViews>
  <sheets>
    <sheet name="Operating Model" sheetId="1" r:id="rId1"/>
    <sheet name="DCF" sheetId="343" r:id="rId2"/>
    <sheet name="WACC" sheetId="344" r:id="rId3"/>
    <sheet name="PPE" sheetId="346" r:id="rId4"/>
    <sheet name="Data &gt;&gt;" sheetId="345" r:id="rId5"/>
    <sheet name="Service Rev Br-2022" sheetId="12" r:id="rId6"/>
    <sheet name="2022 - Vehicle Sales" sheetId="13" r:id="rId7"/>
    <sheet name="2022 k - BS" sheetId="26" r:id="rId8"/>
    <sheet name="2022 k - IS" sheetId="27" r:id="rId9"/>
    <sheet name="2022 k - CF" sheetId="30" r:id="rId10"/>
    <sheet name="2022 k - PPE" sheetId="37" r:id="rId11"/>
    <sheet name="2022 k - Shares" sheetId="47" r:id="rId12"/>
    <sheet name="2022 k - T61" sheetId="61" r:id="rId13"/>
    <sheet name="2022 k - T62" sheetId="62" r:id="rId14"/>
    <sheet name="2022 k - T63" sheetId="63" r:id="rId15"/>
    <sheet name="2023 k - Service Rev" sheetId="76" r:id="rId16"/>
    <sheet name="2023 k - Vehicle Sales" sheetId="77" r:id="rId17"/>
    <sheet name="2023 k - BS" sheetId="89" r:id="rId18"/>
    <sheet name="2023 k - IS" sheetId="90" r:id="rId19"/>
    <sheet name="2023 k - CF" sheetId="93" r:id="rId20"/>
    <sheet name="2023 k - PPE" sheetId="100" r:id="rId21"/>
    <sheet name="2023 k - Shares" sheetId="110" r:id="rId22"/>
    <sheet name="2023 k - T59" sheetId="124" r:id="rId23"/>
    <sheet name="2023 k - T60" sheetId="125" r:id="rId24"/>
    <sheet name="2023 k - T61" sheetId="126" r:id="rId25"/>
    <sheet name="2024 k - Service Rev" sheetId="138" r:id="rId26"/>
    <sheet name="2024 k - Vehicle Sales" sheetId="139" r:id="rId27"/>
    <sheet name="2024 k - BS" sheetId="152" r:id="rId28"/>
    <sheet name="2024 k - IS" sheetId="153" r:id="rId29"/>
    <sheet name="2024 k - cf" sheetId="156" r:id="rId30"/>
    <sheet name="2024 k - PPE" sheetId="163" r:id="rId31"/>
    <sheet name="2024 k - Shares" sheetId="175" r:id="rId32"/>
    <sheet name="2024 k - T60" sheetId="188" r:id="rId33"/>
    <sheet name="2024 k - T61" sheetId="189" r:id="rId34"/>
    <sheet name="2024 k - T62" sheetId="190" r:id="rId35"/>
    <sheet name="2025 k - BS" sheetId="214" r:id="rId36"/>
    <sheet name="2025 k - IS" sheetId="215" r:id="rId37"/>
    <sheet name="2025 k - CF" sheetId="218" r:id="rId38"/>
    <sheet name="2025 k - service revenues" sheetId="219" r:id="rId39"/>
    <sheet name="2025 k - vehicle sales" sheetId="220" r:id="rId40"/>
    <sheet name="2025 k - PPE" sheetId="225" r:id="rId41"/>
    <sheet name="2025 k - lease amounts 0" sheetId="226" r:id="rId42"/>
    <sheet name="2025 k - lease amounts" sheetId="227" r:id="rId43"/>
    <sheet name="2025 k - lease weights" sheetId="228" r:id="rId44"/>
    <sheet name="2025 k - ROU" sheetId="229" r:id="rId45"/>
    <sheet name="2025 k - PV of lease liabilitie" sheetId="230" r:id="rId46"/>
    <sheet name="2025 k - future lease payments" sheetId="231" r:id="rId47"/>
    <sheet name="2025 k - Future Intangibles" sheetId="234" r:id="rId48"/>
    <sheet name="2025 k - Shares" sheetId="237" r:id="rId49"/>
    <sheet name="2025 k - Unvested Sahres" sheetId="240" r:id="rId50"/>
    <sheet name="2025 k - Options0" sheetId="241" r:id="rId51"/>
    <sheet name="2025 k - Options1" sheetId="242" r:id="rId52"/>
    <sheet name="2025 k - Options" sheetId="249" r:id="rId53"/>
    <sheet name="2025 k - T58" sheetId="250" r:id="rId54"/>
    <sheet name="2025 k - T59" sheetId="251" r:id="rId55"/>
    <sheet name="April Q - BS" sheetId="257" r:id="rId56"/>
    <sheet name="April Q - IS" sheetId="258" r:id="rId57"/>
    <sheet name="April Q - Shares" sheetId="265" r:id="rId58"/>
    <sheet name="April Q - T14" sheetId="267" r:id="rId59"/>
    <sheet name="April Q - T15" sheetId="268" r:id="rId60"/>
    <sheet name="April Q - T16" sheetId="269" r:id="rId61"/>
    <sheet name="April Q - T17" sheetId="270" r:id="rId62"/>
    <sheet name="April Q - % of rev" sheetId="272" r:id="rId63"/>
    <sheet name="April Q - service rev" sheetId="273" r:id="rId64"/>
    <sheet name="April Q - vehicle sales" sheetId="274" r:id="rId65"/>
    <sheet name="April Q - Cost of vehicle sal" sheetId="276" r:id="rId66"/>
    <sheet name="january Q - BS" sheetId="288" r:id="rId67"/>
    <sheet name="january Q - IS" sheetId="289" r:id="rId68"/>
    <sheet name="january Q - shares" sheetId="296" r:id="rId69"/>
    <sheet name="january Q - T16" sheetId="300" r:id="rId70"/>
    <sheet name="january Q - T17" sheetId="301" r:id="rId71"/>
    <sheet name="january Q - % of rev" sheetId="303" r:id="rId72"/>
    <sheet name="january Q - service revenues" sheetId="304" r:id="rId73"/>
    <sheet name="january Q - vehicle Sales" sheetId="305" r:id="rId74"/>
    <sheet name="january Q - COst of vehicle sal" sheetId="307" r:id="rId75"/>
    <sheet name="October Q - BS" sheetId="317" r:id="rId76"/>
    <sheet name="October Q - IS0" sheetId="318" r:id="rId77"/>
    <sheet name="October Q - shares" sheetId="325" r:id="rId78"/>
    <sheet name="October Q - % income stat" sheetId="331" r:id="rId79"/>
    <sheet name="October Q - service rev" sheetId="332" r:id="rId80"/>
    <sheet name="October Q - vehicle sales" sheetId="333" r:id="rId81"/>
    <sheet name="October Q - cost of vehicle sal" sheetId="335" r:id="rId82"/>
  </sheets>
  <calcPr calcId="162913"/>
</workbook>
</file>

<file path=xl/calcChain.xml><?xml version="1.0" encoding="utf-8"?>
<calcChain xmlns="http://schemas.openxmlformats.org/spreadsheetml/2006/main">
  <c r="G8" i="343" l="1"/>
  <c r="J17" i="343"/>
  <c r="K17" i="343"/>
  <c r="L17" i="343"/>
  <c r="M17" i="343"/>
  <c r="I17" i="343"/>
  <c r="M90" i="1" l="1"/>
  <c r="G10" i="346"/>
  <c r="M7" i="346"/>
  <c r="G13" i="346" s="1"/>
  <c r="N13" i="346" s="1"/>
  <c r="D16" i="346"/>
  <c r="D17" i="346" s="1"/>
  <c r="D18" i="346" s="1"/>
  <c r="D19" i="346" s="1"/>
  <c r="D20" i="346" s="1"/>
  <c r="D21" i="346" s="1"/>
  <c r="D22" i="346" s="1"/>
  <c r="D23" i="346" s="1"/>
  <c r="D15" i="346"/>
  <c r="J5" i="346"/>
  <c r="K5" i="346"/>
  <c r="L5" i="346"/>
  <c r="M5" i="346"/>
  <c r="I5" i="346"/>
  <c r="M4" i="346"/>
  <c r="J6" i="346"/>
  <c r="K6" i="346"/>
  <c r="L6" i="346"/>
  <c r="M6" i="346"/>
  <c r="I6" i="346"/>
  <c r="K4" i="346"/>
  <c r="L4" i="346"/>
  <c r="J4" i="346"/>
  <c r="J7" i="346"/>
  <c r="K7" i="346"/>
  <c r="L7" i="346"/>
  <c r="I7" i="346"/>
  <c r="P92" i="1"/>
  <c r="Q92" i="1" s="1"/>
  <c r="R92" i="1" s="1"/>
  <c r="S92" i="1" s="1"/>
  <c r="T92" i="1" s="1"/>
  <c r="U92" i="1" s="1"/>
  <c r="V92" i="1" s="1"/>
  <c r="O92" i="1"/>
  <c r="M91" i="1"/>
  <c r="K91" i="1"/>
  <c r="J92" i="1"/>
  <c r="K92" i="1"/>
  <c r="L92" i="1"/>
  <c r="I92" i="1"/>
  <c r="F32" i="344"/>
  <c r="F27" i="344"/>
  <c r="F39" i="1"/>
  <c r="N4" i="346" l="1"/>
  <c r="N23" i="1"/>
  <c r="O23" i="1" s="1"/>
  <c r="P23" i="1" s="1"/>
  <c r="Q23" i="1" s="1"/>
  <c r="R23" i="1" s="1"/>
  <c r="S23" i="1" s="1"/>
  <c r="T23" i="1" s="1"/>
  <c r="U23" i="1" s="1"/>
  <c r="V23" i="1" s="1"/>
  <c r="W23" i="1" s="1"/>
  <c r="H62" i="343"/>
  <c r="H63" i="343" s="1"/>
  <c r="H64" i="343" s="1"/>
  <c r="H65" i="343" s="1"/>
  <c r="H66" i="343" s="1"/>
  <c r="H67" i="343" s="1"/>
  <c r="J60" i="343"/>
  <c r="K60" i="343" s="1"/>
  <c r="L60" i="343" s="1"/>
  <c r="M60" i="343" s="1"/>
  <c r="N60" i="343" s="1"/>
  <c r="O60" i="343" s="1"/>
  <c r="P60" i="343" s="1"/>
  <c r="Q60" i="343" s="1"/>
  <c r="J49" i="343"/>
  <c r="K49" i="343"/>
  <c r="L49" i="343"/>
  <c r="M49" i="343"/>
  <c r="N49" i="343" s="1"/>
  <c r="O49" i="343" s="1"/>
  <c r="P49" i="343" s="1"/>
  <c r="Q49" i="343" s="1"/>
  <c r="H51" i="343"/>
  <c r="H52" i="343"/>
  <c r="H53" i="343"/>
  <c r="H54" i="343"/>
  <c r="H55" i="343" s="1"/>
  <c r="H56" i="343" s="1"/>
  <c r="R22" i="1" l="1"/>
  <c r="P22" i="1"/>
  <c r="Q22" i="1"/>
  <c r="S22" i="1"/>
  <c r="T22" i="1" s="1"/>
  <c r="U22" i="1" s="1"/>
  <c r="V22" i="1" s="1"/>
  <c r="W22" i="1" s="1"/>
  <c r="O22" i="1"/>
  <c r="I24" i="1" l="1"/>
  <c r="M53" i="1"/>
  <c r="J53" i="1"/>
  <c r="K53" i="1"/>
  <c r="L53" i="1"/>
  <c r="J54" i="1"/>
  <c r="K54" i="1"/>
  <c r="L54" i="1"/>
  <c r="M54" i="1"/>
  <c r="J55" i="1"/>
  <c r="K55" i="1"/>
  <c r="L55" i="1"/>
  <c r="M55" i="1"/>
  <c r="I55" i="1"/>
  <c r="I54" i="1"/>
  <c r="I53" i="1"/>
  <c r="M26" i="1"/>
  <c r="J25" i="1"/>
  <c r="X59" i="1"/>
  <c r="AA59" i="1"/>
  <c r="AB59" i="1"/>
  <c r="AE59" i="1"/>
  <c r="AF59" i="1"/>
  <c r="X60" i="1"/>
  <c r="AB60" i="1"/>
  <c r="AF60" i="1"/>
  <c r="X61" i="1"/>
  <c r="Y61" i="1"/>
  <c r="Y60" i="1" s="1"/>
  <c r="Z61" i="1"/>
  <c r="Z60" i="1" s="1"/>
  <c r="AA61" i="1"/>
  <c r="AA60" i="1" s="1"/>
  <c r="AB61" i="1"/>
  <c r="AC61" i="1"/>
  <c r="AC60" i="1" s="1"/>
  <c r="AD61" i="1"/>
  <c r="AD60" i="1" s="1"/>
  <c r="AE61" i="1"/>
  <c r="AE60" i="1" s="1"/>
  <c r="AF61" i="1"/>
  <c r="AG61" i="1"/>
  <c r="AG60" i="1" s="1"/>
  <c r="AH61" i="1"/>
  <c r="AH60" i="1" s="1"/>
  <c r="X62" i="1"/>
  <c r="Y62" i="1" s="1"/>
  <c r="X63" i="1"/>
  <c r="Y63" i="1"/>
  <c r="Z63" i="1" s="1"/>
  <c r="AA63" i="1" s="1"/>
  <c r="AB63" i="1" s="1"/>
  <c r="AC63" i="1" s="1"/>
  <c r="AD63" i="1" s="1"/>
  <c r="AE63" i="1" s="1"/>
  <c r="AF63" i="1" s="1"/>
  <c r="AG63" i="1" s="1"/>
  <c r="AH63" i="1" s="1"/>
  <c r="X64" i="1"/>
  <c r="X65" i="1" s="1"/>
  <c r="X75" i="1"/>
  <c r="Y75" i="1"/>
  <c r="Z75" i="1"/>
  <c r="AA75" i="1"/>
  <c r="AB75" i="1"/>
  <c r="AC75" i="1"/>
  <c r="AD75" i="1"/>
  <c r="AE75" i="1"/>
  <c r="AF75" i="1"/>
  <c r="AG75" i="1"/>
  <c r="AH75" i="1"/>
  <c r="X79" i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X83" i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X86" i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O36" i="1"/>
  <c r="O26" i="1"/>
  <c r="O24" i="1"/>
  <c r="O117" i="1" s="1"/>
  <c r="O5" i="346" s="1"/>
  <c r="X155" i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X159" i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X163" i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X164" i="1"/>
  <c r="Y164" i="1"/>
  <c r="Z164" i="1" s="1"/>
  <c r="AA164" i="1" s="1"/>
  <c r="AB164" i="1" s="1"/>
  <c r="AC164" i="1" s="1"/>
  <c r="AD164" i="1" s="1"/>
  <c r="AE164" i="1" s="1"/>
  <c r="AF164" i="1" s="1"/>
  <c r="AG164" i="1" s="1"/>
  <c r="AH164" i="1" s="1"/>
  <c r="X165" i="1"/>
  <c r="Y165" i="1"/>
  <c r="Z165" i="1"/>
  <c r="AA165" i="1" s="1"/>
  <c r="AB165" i="1" s="1"/>
  <c r="AC165" i="1" s="1"/>
  <c r="AD165" i="1" s="1"/>
  <c r="AE165" i="1" s="1"/>
  <c r="AF165" i="1" s="1"/>
  <c r="AG165" i="1" s="1"/>
  <c r="AH165" i="1" s="1"/>
  <c r="X166" i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P21" i="1"/>
  <c r="Q21" i="1" s="1"/>
  <c r="R21" i="1" s="1"/>
  <c r="S21" i="1" s="1"/>
  <c r="T21" i="1" s="1"/>
  <c r="U21" i="1" s="1"/>
  <c r="V21" i="1" s="1"/>
  <c r="W21" i="1" s="1"/>
  <c r="O21" i="1"/>
  <c r="O20" i="1"/>
  <c r="N20" i="1"/>
  <c r="L21" i="1"/>
  <c r="K25" i="1"/>
  <c r="L25" i="1"/>
  <c r="M25" i="1"/>
  <c r="J24" i="1"/>
  <c r="K24" i="1"/>
  <c r="L24" i="1"/>
  <c r="K21" i="1"/>
  <c r="J21" i="1"/>
  <c r="M22" i="1"/>
  <c r="M20" i="1"/>
  <c r="Y64" i="1" l="1"/>
  <c r="Z62" i="1"/>
  <c r="X68" i="1"/>
  <c r="X69" i="1"/>
  <c r="X67" i="1"/>
  <c r="X157" i="1"/>
  <c r="AH59" i="1"/>
  <c r="AD59" i="1"/>
  <c r="Z59" i="1"/>
  <c r="AG59" i="1"/>
  <c r="AC59" i="1"/>
  <c r="Y59" i="1"/>
  <c r="P20" i="1"/>
  <c r="Q20" i="1" s="1"/>
  <c r="R20" i="1" s="1"/>
  <c r="S20" i="1" s="1"/>
  <c r="T20" i="1" s="1"/>
  <c r="U20" i="1" s="1"/>
  <c r="V20" i="1" s="1"/>
  <c r="W20" i="1" s="1"/>
  <c r="N24" i="1"/>
  <c r="M24" i="1"/>
  <c r="G7" i="1"/>
  <c r="F23" i="344"/>
  <c r="E9" i="344"/>
  <c r="E10" i="344"/>
  <c r="E7" i="344"/>
  <c r="G41" i="343"/>
  <c r="F10" i="344" s="1"/>
  <c r="C39" i="343"/>
  <c r="E8" i="344" s="1"/>
  <c r="G39" i="343"/>
  <c r="F8" i="344" s="1"/>
  <c r="G40" i="343"/>
  <c r="F9" i="344" s="1"/>
  <c r="M188" i="1"/>
  <c r="M174" i="1"/>
  <c r="M179" i="1" s="1"/>
  <c r="M161" i="1"/>
  <c r="M167" i="1" s="1"/>
  <c r="K161" i="1"/>
  <c r="O16" i="1"/>
  <c r="P16" i="1" s="1"/>
  <c r="Q16" i="1" s="1"/>
  <c r="L16" i="1"/>
  <c r="M16" i="1" s="1"/>
  <c r="L26" i="344"/>
  <c r="N25" i="1" l="1"/>
  <c r="N117" i="1"/>
  <c r="N5" i="346" s="1"/>
  <c r="O25" i="1"/>
  <c r="AA62" i="1"/>
  <c r="Z64" i="1"/>
  <c r="X70" i="1"/>
  <c r="X71" i="1" s="1"/>
  <c r="X76" i="1" s="1"/>
  <c r="Y157" i="1"/>
  <c r="Y65" i="1"/>
  <c r="P24" i="1"/>
  <c r="Q24" i="1"/>
  <c r="Q117" i="1" s="1"/>
  <c r="Q5" i="346" s="1"/>
  <c r="M189" i="1"/>
  <c r="M191" i="1" s="1"/>
  <c r="L22" i="344"/>
  <c r="F20" i="344"/>
  <c r="F15" i="344"/>
  <c r="P25" i="1" l="1"/>
  <c r="P117" i="1"/>
  <c r="P5" i="346" s="1"/>
  <c r="X77" i="1"/>
  <c r="X78" i="1" s="1"/>
  <c r="X80" i="1" s="1"/>
  <c r="Z65" i="1"/>
  <c r="Z157" i="1"/>
  <c r="Y69" i="1"/>
  <c r="Y160" i="1"/>
  <c r="Y68" i="1"/>
  <c r="Y67" i="1"/>
  <c r="AB62" i="1"/>
  <c r="AA64" i="1"/>
  <c r="Q25" i="1"/>
  <c r="F5" i="344"/>
  <c r="G45" i="343"/>
  <c r="L9" i="343" s="1"/>
  <c r="H40" i="344"/>
  <c r="M40" i="344" s="1"/>
  <c r="H41" i="344"/>
  <c r="M41" i="344" s="1"/>
  <c r="H42" i="344"/>
  <c r="M42" i="344" s="1"/>
  <c r="H43" i="344"/>
  <c r="M43" i="344" s="1"/>
  <c r="H44" i="344"/>
  <c r="M44" i="344" s="1"/>
  <c r="H45" i="344"/>
  <c r="M45" i="344" s="1"/>
  <c r="H46" i="344"/>
  <c r="M46" i="344" s="1"/>
  <c r="H47" i="344"/>
  <c r="M47" i="344" s="1"/>
  <c r="H48" i="344"/>
  <c r="M48" i="344" s="1"/>
  <c r="H49" i="344"/>
  <c r="M49" i="344" s="1"/>
  <c r="H50" i="344"/>
  <c r="M50" i="344" s="1"/>
  <c r="H51" i="344"/>
  <c r="M51" i="344" s="1"/>
  <c r="H52" i="344"/>
  <c r="M52" i="344" s="1"/>
  <c r="H53" i="344"/>
  <c r="M53" i="344" s="1"/>
  <c r="H54" i="344"/>
  <c r="M54" i="344" s="1"/>
  <c r="H55" i="344"/>
  <c r="M55" i="344" s="1"/>
  <c r="H56" i="344"/>
  <c r="M56" i="344" s="1"/>
  <c r="H57" i="344"/>
  <c r="M57" i="344" s="1"/>
  <c r="H58" i="344"/>
  <c r="M58" i="344" s="1"/>
  <c r="H59" i="344"/>
  <c r="M59" i="344" s="1"/>
  <c r="H39" i="344"/>
  <c r="M39" i="344" s="1"/>
  <c r="L188" i="1"/>
  <c r="K188" i="1"/>
  <c r="J188" i="1"/>
  <c r="I188" i="1"/>
  <c r="J174" i="1"/>
  <c r="J179" i="1" s="1"/>
  <c r="K174" i="1"/>
  <c r="K179" i="1" s="1"/>
  <c r="K189" i="1" s="1"/>
  <c r="L174" i="1"/>
  <c r="L179" i="1" s="1"/>
  <c r="I174" i="1"/>
  <c r="I179" i="1" s="1"/>
  <c r="K148" i="1"/>
  <c r="L161" i="1"/>
  <c r="L167" i="1" s="1"/>
  <c r="K167" i="1"/>
  <c r="J161" i="1"/>
  <c r="J167" i="1" s="1"/>
  <c r="I161" i="1"/>
  <c r="I167" i="1" s="1"/>
  <c r="J148" i="1"/>
  <c r="L148" i="1"/>
  <c r="I148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J133" i="1"/>
  <c r="K133" i="1"/>
  <c r="L133" i="1"/>
  <c r="I133" i="1"/>
  <c r="J123" i="1"/>
  <c r="K123" i="1"/>
  <c r="L123" i="1"/>
  <c r="M123" i="1"/>
  <c r="I123" i="1"/>
  <c r="M86" i="1"/>
  <c r="M83" i="1"/>
  <c r="N75" i="1"/>
  <c r="O75" i="1"/>
  <c r="P75" i="1"/>
  <c r="Q75" i="1"/>
  <c r="R75" i="1"/>
  <c r="S75" i="1"/>
  <c r="T75" i="1"/>
  <c r="U75" i="1"/>
  <c r="V75" i="1"/>
  <c r="W75" i="1"/>
  <c r="M75" i="1"/>
  <c r="J75" i="1"/>
  <c r="K75" i="1"/>
  <c r="L75" i="1"/>
  <c r="I75" i="1"/>
  <c r="L70" i="1"/>
  <c r="L147" i="1" s="1"/>
  <c r="K70" i="1"/>
  <c r="K147" i="1" s="1"/>
  <c r="J70" i="1"/>
  <c r="J147" i="1" s="1"/>
  <c r="I70" i="1"/>
  <c r="I147" i="1" s="1"/>
  <c r="C43" i="1"/>
  <c r="C44" i="1"/>
  <c r="C45" i="1"/>
  <c r="C46" i="1"/>
  <c r="C42" i="1"/>
  <c r="L64" i="1"/>
  <c r="L149" i="1" s="1"/>
  <c r="L61" i="1"/>
  <c r="L26" i="1" s="1"/>
  <c r="J64" i="1"/>
  <c r="J149" i="1" s="1"/>
  <c r="K64" i="1"/>
  <c r="K149" i="1" s="1"/>
  <c r="I64" i="1"/>
  <c r="I149" i="1" s="1"/>
  <c r="J61" i="1"/>
  <c r="K61" i="1"/>
  <c r="I61" i="1"/>
  <c r="M79" i="1"/>
  <c r="M77" i="1"/>
  <c r="M69" i="1"/>
  <c r="M68" i="1"/>
  <c r="M67" i="1"/>
  <c r="M60" i="1"/>
  <c r="M62" i="1"/>
  <c r="M63" i="1"/>
  <c r="M59" i="1"/>
  <c r="K31" i="1"/>
  <c r="L31" i="1"/>
  <c r="K32" i="1"/>
  <c r="L32" i="1"/>
  <c r="K34" i="1"/>
  <c r="L34" i="1"/>
  <c r="K35" i="1"/>
  <c r="L35" i="1"/>
  <c r="J32" i="1"/>
  <c r="J34" i="1"/>
  <c r="J35" i="1"/>
  <c r="J31" i="1"/>
  <c r="D31" i="1"/>
  <c r="D32" i="1"/>
  <c r="D34" i="1"/>
  <c r="D35" i="1"/>
  <c r="C31" i="1"/>
  <c r="C32" i="1"/>
  <c r="C33" i="1"/>
  <c r="C34" i="1"/>
  <c r="C35" i="1"/>
  <c r="C36" i="1"/>
  <c r="C37" i="1"/>
  <c r="C30" i="1"/>
  <c r="X85" i="1" l="1"/>
  <c r="X82" i="1"/>
  <c r="AB64" i="1"/>
  <c r="AC62" i="1"/>
  <c r="Z69" i="1"/>
  <c r="Z160" i="1"/>
  <c r="Z67" i="1"/>
  <c r="Z68" i="1"/>
  <c r="AA65" i="1"/>
  <c r="AA157" i="1"/>
  <c r="Y70" i="1"/>
  <c r="Y71" i="1" s="1"/>
  <c r="Y76" i="1" s="1"/>
  <c r="R24" i="1"/>
  <c r="M61" i="1"/>
  <c r="S24" i="1"/>
  <c r="S117" i="1" s="1"/>
  <c r="S5" i="346" s="1"/>
  <c r="F6" i="344"/>
  <c r="F22" i="344" s="1"/>
  <c r="F29" i="344" s="1"/>
  <c r="F31" i="344" s="1"/>
  <c r="F34" i="344" s="1"/>
  <c r="G43" i="343"/>
  <c r="N149" i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L189" i="1"/>
  <c r="L191" i="1" s="1"/>
  <c r="N148" i="1"/>
  <c r="N147" i="1"/>
  <c r="K191" i="1"/>
  <c r="J189" i="1"/>
  <c r="J191" i="1" s="1"/>
  <c r="I189" i="1"/>
  <c r="I191" i="1" s="1"/>
  <c r="N26" i="1"/>
  <c r="P26" i="1" s="1"/>
  <c r="Q26" i="1" s="1"/>
  <c r="R26" i="1" s="1"/>
  <c r="S26" i="1" s="1"/>
  <c r="T26" i="1" s="1"/>
  <c r="U26" i="1" s="1"/>
  <c r="V26" i="1" s="1"/>
  <c r="I51" i="1"/>
  <c r="I50" i="1"/>
  <c r="G38" i="343"/>
  <c r="F7" i="344" s="1"/>
  <c r="F11" i="344" s="1"/>
  <c r="N183" i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K51" i="1"/>
  <c r="K50" i="1"/>
  <c r="K33" i="1"/>
  <c r="J65" i="1"/>
  <c r="J44" i="1" s="1"/>
  <c r="J50" i="1"/>
  <c r="J51" i="1"/>
  <c r="L51" i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L50" i="1"/>
  <c r="J36" i="1"/>
  <c r="K65" i="1"/>
  <c r="K71" i="1" s="1"/>
  <c r="I65" i="1"/>
  <c r="I150" i="1" s="1"/>
  <c r="M64" i="1"/>
  <c r="M65" i="1" s="1"/>
  <c r="M18" i="1" s="1"/>
  <c r="L36" i="1"/>
  <c r="L33" i="1"/>
  <c r="K36" i="1"/>
  <c r="M70" i="1"/>
  <c r="L65" i="1"/>
  <c r="J33" i="1"/>
  <c r="R25" i="1" l="1"/>
  <c r="R117" i="1"/>
  <c r="R5" i="346" s="1"/>
  <c r="Z70" i="1"/>
  <c r="Z71" i="1" s="1"/>
  <c r="Z76" i="1" s="1"/>
  <c r="AC64" i="1"/>
  <c r="AD62" i="1"/>
  <c r="AA67" i="1"/>
  <c r="AA70" i="1" s="1"/>
  <c r="AA71" i="1" s="1"/>
  <c r="AA76" i="1" s="1"/>
  <c r="AA68" i="1"/>
  <c r="AA69" i="1"/>
  <c r="AA160" i="1"/>
  <c r="AB65" i="1"/>
  <c r="AB157" i="1"/>
  <c r="Y78" i="1"/>
  <c r="Y80" i="1" s="1"/>
  <c r="Y77" i="1"/>
  <c r="S25" i="1"/>
  <c r="T24" i="1"/>
  <c r="J45" i="1"/>
  <c r="J43" i="1"/>
  <c r="K43" i="1"/>
  <c r="N50" i="1"/>
  <c r="O50" i="1" s="1"/>
  <c r="X51" i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J46" i="1"/>
  <c r="K44" i="1"/>
  <c r="J146" i="1"/>
  <c r="J71" i="1"/>
  <c r="J76" i="1" s="1"/>
  <c r="J78" i="1" s="1"/>
  <c r="J91" i="1"/>
  <c r="J37" i="1"/>
  <c r="K37" i="1"/>
  <c r="K76" i="1"/>
  <c r="K78" i="1" s="1"/>
  <c r="L146" i="1"/>
  <c r="L18" i="1"/>
  <c r="L150" i="1"/>
  <c r="K18" i="1"/>
  <c r="K150" i="1"/>
  <c r="K46" i="1"/>
  <c r="I44" i="1"/>
  <c r="K45" i="1"/>
  <c r="I71" i="1"/>
  <c r="I76" i="1" s="1"/>
  <c r="I48" i="1" s="1"/>
  <c r="I90" i="1"/>
  <c r="J90" i="1"/>
  <c r="J150" i="1"/>
  <c r="I91" i="1"/>
  <c r="I146" i="1"/>
  <c r="I46" i="1"/>
  <c r="I43" i="1"/>
  <c r="K90" i="1"/>
  <c r="K146" i="1"/>
  <c r="I45" i="1"/>
  <c r="M71" i="1"/>
  <c r="M76" i="1" s="1"/>
  <c r="M78" i="1" s="1"/>
  <c r="M80" i="1" s="1"/>
  <c r="L90" i="1"/>
  <c r="L91" i="1"/>
  <c r="L37" i="1"/>
  <c r="L45" i="1"/>
  <c r="N45" i="1" s="1"/>
  <c r="O45" i="1" s="1"/>
  <c r="P45" i="1" s="1"/>
  <c r="Q45" i="1" s="1"/>
  <c r="L71" i="1"/>
  <c r="L44" i="1"/>
  <c r="O44" i="1" s="1"/>
  <c r="P44" i="1" s="1"/>
  <c r="L43" i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L46" i="1"/>
  <c r="M98" i="1"/>
  <c r="I8" i="1"/>
  <c r="I9" i="1" s="1"/>
  <c r="I3" i="343" s="1"/>
  <c r="T25" i="1" l="1"/>
  <c r="T117" i="1"/>
  <c r="T5" i="346" s="1"/>
  <c r="AA77" i="1"/>
  <c r="AA78" i="1" s="1"/>
  <c r="AA80" i="1" s="1"/>
  <c r="Y85" i="1"/>
  <c r="Y82" i="1"/>
  <c r="AE62" i="1"/>
  <c r="AD64" i="1"/>
  <c r="AC65" i="1"/>
  <c r="AC157" i="1"/>
  <c r="AB68" i="1"/>
  <c r="AB160" i="1"/>
  <c r="AB67" i="1"/>
  <c r="AB69" i="1"/>
  <c r="Z77" i="1"/>
  <c r="Z78" i="1"/>
  <c r="Z80" i="1" s="1"/>
  <c r="U24" i="1"/>
  <c r="N150" i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J48" i="1"/>
  <c r="P50" i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N146" i="1"/>
  <c r="I78" i="1"/>
  <c r="I95" i="1" s="1"/>
  <c r="I115" i="1" s="1"/>
  <c r="I135" i="1" s="1"/>
  <c r="I137" i="1" s="1"/>
  <c r="J136" i="1" s="1"/>
  <c r="K48" i="1"/>
  <c r="L76" i="1"/>
  <c r="L48" i="1" s="1"/>
  <c r="L21" i="344"/>
  <c r="L23" i="344" s="1"/>
  <c r="M82" i="1"/>
  <c r="M85" i="1"/>
  <c r="M95" i="1"/>
  <c r="M115" i="1" s="1"/>
  <c r="J80" i="1"/>
  <c r="J95" i="1"/>
  <c r="J115" i="1" s="1"/>
  <c r="J135" i="1" s="1"/>
  <c r="K80" i="1"/>
  <c r="K95" i="1"/>
  <c r="K115" i="1" s="1"/>
  <c r="K135" i="1" s="1"/>
  <c r="R45" i="1"/>
  <c r="Q44" i="1"/>
  <c r="I11" i="1"/>
  <c r="I12" i="1"/>
  <c r="I10" i="1"/>
  <c r="I4" i="343" s="1"/>
  <c r="I27" i="343" l="1"/>
  <c r="I3" i="346"/>
  <c r="I24" i="346" s="1"/>
  <c r="U25" i="1"/>
  <c r="U117" i="1"/>
  <c r="U5" i="346" s="1"/>
  <c r="I12" i="343"/>
  <c r="I19" i="343"/>
  <c r="AA82" i="1"/>
  <c r="AA85" i="1"/>
  <c r="Z82" i="1"/>
  <c r="Z85" i="1"/>
  <c r="AB70" i="1"/>
  <c r="AB71" i="1" s="1"/>
  <c r="AB76" i="1" s="1"/>
  <c r="AC69" i="1"/>
  <c r="AC160" i="1"/>
  <c r="AC68" i="1"/>
  <c r="AC67" i="1"/>
  <c r="AC70" i="1" s="1"/>
  <c r="AC71" i="1" s="1"/>
  <c r="AC76" i="1" s="1"/>
  <c r="AD65" i="1"/>
  <c r="AD157" i="1"/>
  <c r="AF62" i="1"/>
  <c r="AE64" i="1"/>
  <c r="V24" i="1"/>
  <c r="L78" i="1"/>
  <c r="L80" i="1" s="1"/>
  <c r="I80" i="1"/>
  <c r="J137" i="1"/>
  <c r="K136" i="1" s="1"/>
  <c r="K137" i="1" s="1"/>
  <c r="L136" i="1" s="1"/>
  <c r="N48" i="1"/>
  <c r="I14" i="343"/>
  <c r="I18" i="343"/>
  <c r="I5" i="343"/>
  <c r="I6" i="343"/>
  <c r="I22" i="343" s="1"/>
  <c r="L95" i="1"/>
  <c r="L115" i="1" s="1"/>
  <c r="L135" i="1" s="1"/>
  <c r="S45" i="1"/>
  <c r="R44" i="1"/>
  <c r="J8" i="1"/>
  <c r="J9" i="1" s="1"/>
  <c r="J3" i="343" s="1"/>
  <c r="V25" i="1" l="1"/>
  <c r="V117" i="1"/>
  <c r="V5" i="346" s="1"/>
  <c r="AC77" i="1"/>
  <c r="AC78" i="1"/>
  <c r="AC80" i="1" s="1"/>
  <c r="AD67" i="1"/>
  <c r="AD69" i="1"/>
  <c r="AD160" i="1"/>
  <c r="AD68" i="1"/>
  <c r="AE65" i="1"/>
  <c r="AE157" i="1"/>
  <c r="AF64" i="1"/>
  <c r="AG62" i="1"/>
  <c r="AB77" i="1"/>
  <c r="AB78" i="1" s="1"/>
  <c r="AB80" i="1" s="1"/>
  <c r="I15" i="343"/>
  <c r="I16" i="343" s="1"/>
  <c r="O48" i="1"/>
  <c r="L137" i="1"/>
  <c r="M136" i="1" s="1"/>
  <c r="M137" i="1" s="1"/>
  <c r="T45" i="1"/>
  <c r="S44" i="1"/>
  <c r="J12" i="1"/>
  <c r="J10" i="1"/>
  <c r="J4" i="343" s="1"/>
  <c r="J11" i="1"/>
  <c r="I20" i="343" l="1"/>
  <c r="I23" i="343" s="1"/>
  <c r="I28" i="343"/>
  <c r="J3" i="346"/>
  <c r="J24" i="346" s="1"/>
  <c r="J27" i="343"/>
  <c r="J5" i="343"/>
  <c r="J12" i="343"/>
  <c r="AB85" i="1"/>
  <c r="AB82" i="1"/>
  <c r="AG64" i="1"/>
  <c r="AH62" i="1"/>
  <c r="AH64" i="1" s="1"/>
  <c r="AF65" i="1"/>
  <c r="AF157" i="1"/>
  <c r="AD70" i="1"/>
  <c r="AD71" i="1" s="1"/>
  <c r="AD76" i="1" s="1"/>
  <c r="AC85" i="1"/>
  <c r="AC82" i="1"/>
  <c r="AE67" i="1"/>
  <c r="AE68" i="1"/>
  <c r="AE69" i="1"/>
  <c r="AE160" i="1"/>
  <c r="W24" i="1"/>
  <c r="W117" i="1" s="1"/>
  <c r="W5" i="346" s="1"/>
  <c r="F14" i="346" s="1" a="1"/>
  <c r="P48" i="1"/>
  <c r="J14" i="343"/>
  <c r="J15" i="343" s="1"/>
  <c r="J16" i="343" s="1"/>
  <c r="J18" i="343"/>
  <c r="J26" i="343" s="1"/>
  <c r="J19" i="343"/>
  <c r="J6" i="343"/>
  <c r="J22" i="343" s="1"/>
  <c r="U45" i="1"/>
  <c r="T44" i="1"/>
  <c r="K8" i="1"/>
  <c r="K9" i="1" s="1"/>
  <c r="J25" i="343" l="1"/>
  <c r="J28" i="343"/>
  <c r="F14" i="346"/>
  <c r="F17" i="346"/>
  <c r="F21" i="346"/>
  <c r="F20" i="346"/>
  <c r="F15" i="346"/>
  <c r="F16" i="346"/>
  <c r="F22" i="346"/>
  <c r="F23" i="346"/>
  <c r="F18" i="346"/>
  <c r="F19" i="346"/>
  <c r="W25" i="1"/>
  <c r="W61" i="1"/>
  <c r="AH65" i="1"/>
  <c r="AH157" i="1"/>
  <c r="AD77" i="1"/>
  <c r="AD78" i="1"/>
  <c r="AD80" i="1" s="1"/>
  <c r="AG65" i="1"/>
  <c r="AG157" i="1"/>
  <c r="AE70" i="1"/>
  <c r="AE71" i="1" s="1"/>
  <c r="AE76" i="1" s="1"/>
  <c r="AF68" i="1"/>
  <c r="AF69" i="1"/>
  <c r="AF67" i="1"/>
  <c r="AF160" i="1"/>
  <c r="K11" i="1"/>
  <c r="L8" i="1" s="1"/>
  <c r="L9" i="1" s="1"/>
  <c r="L3" i="343" s="1"/>
  <c r="K3" i="343"/>
  <c r="Q48" i="1"/>
  <c r="J20" i="343"/>
  <c r="J21" i="343" s="1"/>
  <c r="V45" i="1"/>
  <c r="U44" i="1"/>
  <c r="K12" i="1"/>
  <c r="K10" i="1"/>
  <c r="K4" i="343" s="1"/>
  <c r="K12" i="343" l="1"/>
  <c r="K27" i="343"/>
  <c r="K3" i="346"/>
  <c r="K24" i="346" s="1"/>
  <c r="G23" i="346"/>
  <c r="W23" i="346" s="1"/>
  <c r="G22" i="346"/>
  <c r="V22" i="346" s="1"/>
  <c r="G21" i="346"/>
  <c r="U21" i="346" s="1"/>
  <c r="G20" i="346"/>
  <c r="T20" i="346" s="1"/>
  <c r="G19" i="346"/>
  <c r="S19" i="346" s="1"/>
  <c r="G18" i="346"/>
  <c r="R18" i="346" s="1"/>
  <c r="G16" i="346"/>
  <c r="P16" i="346" s="1"/>
  <c r="G17" i="346"/>
  <c r="Q17" i="346" s="1"/>
  <c r="G15" i="346"/>
  <c r="O15" i="346" s="1"/>
  <c r="G14" i="346"/>
  <c r="N14" i="346" s="1"/>
  <c r="J23" i="343"/>
  <c r="AD82" i="1"/>
  <c r="AD85" i="1"/>
  <c r="AF70" i="1"/>
  <c r="AF71" i="1" s="1"/>
  <c r="AF76" i="1" s="1"/>
  <c r="AE78" i="1"/>
  <c r="AE80" i="1" s="1"/>
  <c r="AE77" i="1"/>
  <c r="AG69" i="1"/>
  <c r="AG160" i="1"/>
  <c r="AG68" i="1"/>
  <c r="AG67" i="1"/>
  <c r="AG70" i="1" s="1"/>
  <c r="AG71" i="1" s="1"/>
  <c r="AG76" i="1" s="1"/>
  <c r="AH69" i="1"/>
  <c r="AH160" i="1"/>
  <c r="AH68" i="1"/>
  <c r="AH67" i="1"/>
  <c r="K19" i="343"/>
  <c r="K18" i="343"/>
  <c r="K26" i="343" s="1"/>
  <c r="K14" i="343"/>
  <c r="K15" i="343" s="1"/>
  <c r="K16" i="343" s="1"/>
  <c r="K5" i="343"/>
  <c r="K6" i="343"/>
  <c r="K22" i="343" s="1"/>
  <c r="R48" i="1"/>
  <c r="W45" i="1"/>
  <c r="V44" i="1"/>
  <c r="L10" i="1"/>
  <c r="L4" i="343" s="1"/>
  <c r="L12" i="1"/>
  <c r="L11" i="1"/>
  <c r="K28" i="343" l="1"/>
  <c r="K25" i="343"/>
  <c r="L12" i="343"/>
  <c r="L3" i="346"/>
  <c r="L24" i="346" s="1"/>
  <c r="L27" i="343"/>
  <c r="AG77" i="1"/>
  <c r="AG78" i="1"/>
  <c r="AG80" i="1" s="1"/>
  <c r="AE85" i="1"/>
  <c r="AE82" i="1"/>
  <c r="AF77" i="1"/>
  <c r="AF78" i="1" s="1"/>
  <c r="AF80" i="1" s="1"/>
  <c r="AH70" i="1"/>
  <c r="AH71" i="1" s="1"/>
  <c r="AH76" i="1" s="1"/>
  <c r="K20" i="343"/>
  <c r="K21" i="343" s="1"/>
  <c r="L18" i="343"/>
  <c r="L26" i="343" s="1"/>
  <c r="L19" i="343"/>
  <c r="L14" i="343"/>
  <c r="L15" i="343" s="1"/>
  <c r="L16" i="343" s="1"/>
  <c r="S48" i="1"/>
  <c r="L6" i="343"/>
  <c r="L22" i="343" s="1"/>
  <c r="L5" i="343"/>
  <c r="X45" i="1"/>
  <c r="W44" i="1"/>
  <c r="M8" i="1"/>
  <c r="M9" i="1" s="1"/>
  <c r="M12" i="1" s="1"/>
  <c r="L28" i="343" l="1"/>
  <c r="L25" i="343"/>
  <c r="K23" i="343"/>
  <c r="AF85" i="1"/>
  <c r="AF82" i="1"/>
  <c r="AH77" i="1"/>
  <c r="AH78" i="1"/>
  <c r="AH80" i="1" s="1"/>
  <c r="AG82" i="1"/>
  <c r="AG85" i="1"/>
  <c r="L20" i="343"/>
  <c r="L21" i="343" s="1"/>
  <c r="M3" i="343"/>
  <c r="T48" i="1"/>
  <c r="Y45" i="1"/>
  <c r="X44" i="1"/>
  <c r="M10" i="1"/>
  <c r="M4" i="343" s="1"/>
  <c r="M11" i="1"/>
  <c r="M3" i="346" l="1"/>
  <c r="M24" i="346" s="1"/>
  <c r="M27" i="343"/>
  <c r="L23" i="343"/>
  <c r="M6" i="343"/>
  <c r="M22" i="343" s="1"/>
  <c r="M12" i="343"/>
  <c r="AH82" i="1"/>
  <c r="AH85" i="1"/>
  <c r="M14" i="343"/>
  <c r="M19" i="343"/>
  <c r="M18" i="343"/>
  <c r="M26" i="343" s="1"/>
  <c r="U48" i="1"/>
  <c r="M5" i="343"/>
  <c r="Z45" i="1"/>
  <c r="Y44" i="1"/>
  <c r="N8" i="1"/>
  <c r="N9" i="1" s="1"/>
  <c r="N3" i="343" s="1"/>
  <c r="V48" i="1" l="1"/>
  <c r="M15" i="343"/>
  <c r="M16" i="343" s="1"/>
  <c r="AA45" i="1"/>
  <c r="Z44" i="1"/>
  <c r="N12" i="1"/>
  <c r="N10" i="1"/>
  <c r="N11" i="1"/>
  <c r="M25" i="343" l="1"/>
  <c r="M28" i="343"/>
  <c r="M20" i="343"/>
  <c r="N185" i="1"/>
  <c r="N178" i="1"/>
  <c r="N172" i="1"/>
  <c r="N165" i="1"/>
  <c r="N4" i="343"/>
  <c r="N181" i="1"/>
  <c r="N186" i="1"/>
  <c r="N175" i="1"/>
  <c r="N166" i="1"/>
  <c r="N177" i="1"/>
  <c r="N155" i="1"/>
  <c r="N163" i="1"/>
  <c r="N184" i="1"/>
  <c r="N176" i="1"/>
  <c r="N171" i="1"/>
  <c r="N164" i="1"/>
  <c r="N173" i="1"/>
  <c r="N159" i="1"/>
  <c r="W48" i="1"/>
  <c r="N98" i="1"/>
  <c r="N136" i="1"/>
  <c r="N86" i="1"/>
  <c r="N63" i="1"/>
  <c r="N83" i="1"/>
  <c r="N62" i="1"/>
  <c r="AB45" i="1"/>
  <c r="AA44" i="1"/>
  <c r="N79" i="1"/>
  <c r="N120" i="1"/>
  <c r="O8" i="1"/>
  <c r="O9" i="1" s="1"/>
  <c r="N12" i="343" l="1"/>
  <c r="N3" i="346"/>
  <c r="N24" i="346" s="1"/>
  <c r="N6" i="346" s="1"/>
  <c r="N17" i="343" s="1"/>
  <c r="M23" i="343"/>
  <c r="M21" i="343"/>
  <c r="O11" i="1"/>
  <c r="P8" i="1" s="1"/>
  <c r="P9" i="1" s="1"/>
  <c r="O3" i="343"/>
  <c r="X48" i="1"/>
  <c r="N5" i="343"/>
  <c r="N6" i="343"/>
  <c r="N22" i="343" s="1"/>
  <c r="N110" i="1"/>
  <c r="N64" i="1"/>
  <c r="AC45" i="1"/>
  <c r="AB44" i="1"/>
  <c r="O12" i="1"/>
  <c r="O10" i="1"/>
  <c r="O186" i="1" s="1"/>
  <c r="N97" i="1" l="1"/>
  <c r="N162" i="1" s="1"/>
  <c r="O181" i="1"/>
  <c r="O165" i="1"/>
  <c r="O163" i="1"/>
  <c r="O178" i="1"/>
  <c r="O172" i="1"/>
  <c r="Y48" i="1"/>
  <c r="O175" i="1"/>
  <c r="O164" i="1"/>
  <c r="O166" i="1"/>
  <c r="O177" i="1"/>
  <c r="P11" i="1"/>
  <c r="Q8" i="1" s="1"/>
  <c r="Q9" i="1" s="1"/>
  <c r="P3" i="343"/>
  <c r="O4" i="343"/>
  <c r="O3" i="346" s="1"/>
  <c r="O148" i="1"/>
  <c r="O147" i="1"/>
  <c r="O146" i="1"/>
  <c r="O185" i="1"/>
  <c r="O184" i="1"/>
  <c r="O176" i="1"/>
  <c r="O155" i="1"/>
  <c r="O110" i="1"/>
  <c r="O173" i="1"/>
  <c r="O159" i="1"/>
  <c r="O171" i="1"/>
  <c r="N36" i="1"/>
  <c r="N157" i="1"/>
  <c r="O86" i="1"/>
  <c r="O98" i="1"/>
  <c r="O83" i="1"/>
  <c r="AD45" i="1"/>
  <c r="AC44" i="1"/>
  <c r="O35" i="1"/>
  <c r="O63" i="1" s="1"/>
  <c r="O34" i="1"/>
  <c r="O79" i="1"/>
  <c r="P12" i="1"/>
  <c r="P10" i="1"/>
  <c r="P4" i="343" s="1"/>
  <c r="O13" i="346" l="1"/>
  <c r="O14" i="346"/>
  <c r="P12" i="343"/>
  <c r="P3" i="346"/>
  <c r="P15" i="346" s="1"/>
  <c r="O6" i="343"/>
  <c r="O22" i="343" s="1"/>
  <c r="O12" i="343"/>
  <c r="O5" i="343"/>
  <c r="P5" i="343" s="1"/>
  <c r="P171" i="1"/>
  <c r="P177" i="1"/>
  <c r="P159" i="1"/>
  <c r="P176" i="1"/>
  <c r="P147" i="1"/>
  <c r="P163" i="1"/>
  <c r="P166" i="1"/>
  <c r="Z48" i="1"/>
  <c r="Q11" i="1"/>
  <c r="R8" i="1" s="1"/>
  <c r="R9" i="1" s="1"/>
  <c r="Q3" i="343"/>
  <c r="P146" i="1"/>
  <c r="P173" i="1"/>
  <c r="P184" i="1"/>
  <c r="P148" i="1"/>
  <c r="P164" i="1"/>
  <c r="P172" i="1"/>
  <c r="P165" i="1"/>
  <c r="P155" i="1"/>
  <c r="P185" i="1"/>
  <c r="P175" i="1"/>
  <c r="P178" i="1"/>
  <c r="P186" i="1"/>
  <c r="N107" i="1"/>
  <c r="P86" i="1"/>
  <c r="P98" i="1"/>
  <c r="P83" i="1"/>
  <c r="P34" i="1"/>
  <c r="O62" i="1"/>
  <c r="AE45" i="1"/>
  <c r="AD44" i="1"/>
  <c r="P35" i="1"/>
  <c r="P63" i="1" s="1"/>
  <c r="P79" i="1"/>
  <c r="Q10" i="1"/>
  <c r="Q4" i="343" s="1"/>
  <c r="Q12" i="1"/>
  <c r="P181" i="1"/>
  <c r="P14" i="346" l="1"/>
  <c r="Q14" i="346" s="1"/>
  <c r="Q12" i="343"/>
  <c r="Q3" i="346"/>
  <c r="P13" i="346"/>
  <c r="O24" i="346"/>
  <c r="O6" i="346" s="1"/>
  <c r="O17" i="343" s="1"/>
  <c r="P6" i="343"/>
  <c r="P22" i="343" s="1"/>
  <c r="Q185" i="1"/>
  <c r="Q164" i="1"/>
  <c r="Q146" i="1"/>
  <c r="Q186" i="1"/>
  <c r="Q155" i="1"/>
  <c r="Q148" i="1"/>
  <c r="Q166" i="1"/>
  <c r="Q159" i="1"/>
  <c r="R11" i="1"/>
  <c r="S8" i="1" s="1"/>
  <c r="S9" i="1" s="1"/>
  <c r="S3" i="343" s="1"/>
  <c r="R3" i="343"/>
  <c r="Q178" i="1"/>
  <c r="Q5" i="343"/>
  <c r="Q6" i="343"/>
  <c r="Q22" i="343" s="1"/>
  <c r="Q165" i="1"/>
  <c r="Q184" i="1"/>
  <c r="P110" i="1"/>
  <c r="Q163" i="1"/>
  <c r="Q177" i="1"/>
  <c r="AA48" i="1"/>
  <c r="Q176" i="1"/>
  <c r="Q175" i="1"/>
  <c r="Q172" i="1"/>
  <c r="Q173" i="1"/>
  <c r="Q147" i="1"/>
  <c r="Q171" i="1"/>
  <c r="Q86" i="1"/>
  <c r="Q98" i="1"/>
  <c r="Q83" i="1"/>
  <c r="Q79" i="1"/>
  <c r="P62" i="1"/>
  <c r="O64" i="1"/>
  <c r="AF45" i="1"/>
  <c r="AE44" i="1"/>
  <c r="Q35" i="1"/>
  <c r="Q63" i="1" s="1"/>
  <c r="Q34" i="1"/>
  <c r="Q181" i="1"/>
  <c r="R10" i="1"/>
  <c r="R4" i="343" s="1"/>
  <c r="R12" i="1"/>
  <c r="O97" i="1" l="1"/>
  <c r="O162" i="1" s="1"/>
  <c r="R12" i="343"/>
  <c r="R3" i="346"/>
  <c r="R17" i="346" s="1"/>
  <c r="R14" i="346"/>
  <c r="Q13" i="346"/>
  <c r="R13" i="346" s="1"/>
  <c r="Q16" i="346"/>
  <c r="Q15" i="346"/>
  <c r="R148" i="1"/>
  <c r="R147" i="1"/>
  <c r="R175" i="1"/>
  <c r="R146" i="1"/>
  <c r="R6" i="343"/>
  <c r="R22" i="343" s="1"/>
  <c r="R5" i="343"/>
  <c r="R185" i="1"/>
  <c r="R155" i="1"/>
  <c r="R171" i="1"/>
  <c r="Q110" i="1"/>
  <c r="R163" i="1"/>
  <c r="R173" i="1"/>
  <c r="R176" i="1"/>
  <c r="R184" i="1"/>
  <c r="R178" i="1"/>
  <c r="R159" i="1"/>
  <c r="R186" i="1"/>
  <c r="R172" i="1"/>
  <c r="AB48" i="1"/>
  <c r="R177" i="1"/>
  <c r="R165" i="1"/>
  <c r="R166" i="1"/>
  <c r="R164" i="1"/>
  <c r="O157" i="1"/>
  <c r="R86" i="1"/>
  <c r="R98" i="1"/>
  <c r="R83" i="1"/>
  <c r="Q62" i="1"/>
  <c r="P64" i="1"/>
  <c r="R79" i="1"/>
  <c r="AG45" i="1"/>
  <c r="AF44" i="1"/>
  <c r="R34" i="1"/>
  <c r="R35" i="1"/>
  <c r="R63" i="1" s="1"/>
  <c r="S12" i="1"/>
  <c r="S10" i="1"/>
  <c r="S4" i="343" s="1"/>
  <c r="S11" i="1"/>
  <c r="R181" i="1"/>
  <c r="S14" i="346" l="1"/>
  <c r="S12" i="343"/>
  <c r="S3" i="346"/>
  <c r="R16" i="346"/>
  <c r="S16" i="346" s="1"/>
  <c r="S17" i="346"/>
  <c r="R15" i="346"/>
  <c r="S15" i="346" s="1"/>
  <c r="S165" i="1"/>
  <c r="S172" i="1"/>
  <c r="S184" i="1"/>
  <c r="R110" i="1"/>
  <c r="S163" i="1"/>
  <c r="S185" i="1"/>
  <c r="S175" i="1"/>
  <c r="S177" i="1"/>
  <c r="S186" i="1"/>
  <c r="S5" i="343"/>
  <c r="S6" i="343"/>
  <c r="S22" i="343" s="1"/>
  <c r="S147" i="1"/>
  <c r="S164" i="1"/>
  <c r="S159" i="1"/>
  <c r="S176" i="1"/>
  <c r="S171" i="1"/>
  <c r="S148" i="1"/>
  <c r="S166" i="1"/>
  <c r="AC48" i="1"/>
  <c r="S178" i="1"/>
  <c r="S173" i="1"/>
  <c r="S155" i="1"/>
  <c r="S146" i="1"/>
  <c r="O107" i="1"/>
  <c r="P36" i="1"/>
  <c r="P157" i="1"/>
  <c r="S86" i="1"/>
  <c r="S98" i="1"/>
  <c r="S83" i="1"/>
  <c r="Q64" i="1"/>
  <c r="R62" i="1"/>
  <c r="S79" i="1"/>
  <c r="AH45" i="1"/>
  <c r="AG44" i="1"/>
  <c r="S35" i="1"/>
  <c r="S63" i="1" s="1"/>
  <c r="S34" i="1"/>
  <c r="S181" i="1"/>
  <c r="T8" i="1"/>
  <c r="T9" i="1" s="1"/>
  <c r="T3" i="343" s="1"/>
  <c r="T14" i="346" l="1"/>
  <c r="T15" i="346"/>
  <c r="S13" i="346"/>
  <c r="S18" i="346"/>
  <c r="AD48" i="1"/>
  <c r="S110" i="1"/>
  <c r="Q36" i="1"/>
  <c r="Q157" i="1"/>
  <c r="Q107" i="1" s="1"/>
  <c r="P107" i="1"/>
  <c r="S62" i="1"/>
  <c r="R64" i="1"/>
  <c r="AH44" i="1"/>
  <c r="T12" i="1"/>
  <c r="T10" i="1"/>
  <c r="T4" i="343" s="1"/>
  <c r="T3" i="346" s="1"/>
  <c r="T19" i="346" s="1"/>
  <c r="T11" i="1"/>
  <c r="T17" i="346" l="1"/>
  <c r="T18" i="346"/>
  <c r="T16" i="346"/>
  <c r="T13" i="346"/>
  <c r="T5" i="343"/>
  <c r="T12" i="343"/>
  <c r="T171" i="1"/>
  <c r="T6" i="343"/>
  <c r="T22" i="343" s="1"/>
  <c r="T163" i="1"/>
  <c r="T110" i="1" s="1"/>
  <c r="T172" i="1"/>
  <c r="T177" i="1"/>
  <c r="T186" i="1"/>
  <c r="T146" i="1"/>
  <c r="T164" i="1"/>
  <c r="T184" i="1"/>
  <c r="T159" i="1"/>
  <c r="T176" i="1"/>
  <c r="T148" i="1"/>
  <c r="T175" i="1"/>
  <c r="T166" i="1"/>
  <c r="T165" i="1"/>
  <c r="T147" i="1"/>
  <c r="T185" i="1"/>
  <c r="T178" i="1"/>
  <c r="T173" i="1"/>
  <c r="AE48" i="1"/>
  <c r="T155" i="1"/>
  <c r="R36" i="1"/>
  <c r="R157" i="1"/>
  <c r="T83" i="1"/>
  <c r="T98" i="1"/>
  <c r="T34" i="1"/>
  <c r="T62" i="1" s="1"/>
  <c r="T86" i="1"/>
  <c r="S64" i="1"/>
  <c r="T35" i="1"/>
  <c r="T63" i="1" s="1"/>
  <c r="U8" i="1"/>
  <c r="U9" i="1" s="1"/>
  <c r="U3" i="343" s="1"/>
  <c r="T79" i="1"/>
  <c r="T181" i="1"/>
  <c r="N121" i="1"/>
  <c r="AF48" i="1" l="1"/>
  <c r="S36" i="1"/>
  <c r="S157" i="1"/>
  <c r="S107" i="1" s="1"/>
  <c r="R107" i="1"/>
  <c r="O120" i="1"/>
  <c r="T64" i="1"/>
  <c r="U12" i="1"/>
  <c r="U10" i="1"/>
  <c r="U173" i="1" s="1"/>
  <c r="U11" i="1"/>
  <c r="U159" i="1" l="1"/>
  <c r="U178" i="1"/>
  <c r="U184" i="1"/>
  <c r="U176" i="1"/>
  <c r="U148" i="1"/>
  <c r="U185" i="1"/>
  <c r="U4" i="343"/>
  <c r="U177" i="1"/>
  <c r="U163" i="1"/>
  <c r="U171" i="1"/>
  <c r="U186" i="1"/>
  <c r="U172" i="1"/>
  <c r="U164" i="1"/>
  <c r="AG48" i="1"/>
  <c r="U155" i="1"/>
  <c r="U146" i="1"/>
  <c r="U147" i="1"/>
  <c r="U175" i="1"/>
  <c r="U166" i="1"/>
  <c r="U165" i="1"/>
  <c r="T36" i="1"/>
  <c r="T157" i="1"/>
  <c r="T107" i="1" s="1"/>
  <c r="U98" i="1"/>
  <c r="O121" i="1"/>
  <c r="P120" i="1" s="1"/>
  <c r="U83" i="1"/>
  <c r="U86" i="1"/>
  <c r="U34" i="1"/>
  <c r="U62" i="1" s="1"/>
  <c r="U35" i="1"/>
  <c r="U63" i="1" s="1"/>
  <c r="U79" i="1"/>
  <c r="V8" i="1"/>
  <c r="V9" i="1" s="1"/>
  <c r="U181" i="1"/>
  <c r="U12" i="343" l="1"/>
  <c r="U3" i="346"/>
  <c r="V11" i="1"/>
  <c r="W8" i="1" s="1"/>
  <c r="W9" i="1" s="1"/>
  <c r="V3" i="343"/>
  <c r="U6" i="343"/>
  <c r="U22" i="343" s="1"/>
  <c r="U5" i="343"/>
  <c r="AH48" i="1"/>
  <c r="U110" i="1"/>
  <c r="P121" i="1"/>
  <c r="Q120" i="1" s="1"/>
  <c r="U64" i="1"/>
  <c r="V10" i="1"/>
  <c r="V147" i="1" s="1"/>
  <c r="V12" i="1"/>
  <c r="U13" i="346" l="1"/>
  <c r="U20" i="346"/>
  <c r="U15" i="346"/>
  <c r="U19" i="346"/>
  <c r="U14" i="346"/>
  <c r="U16" i="346"/>
  <c r="U17" i="346"/>
  <c r="U18" i="346"/>
  <c r="V86" i="1"/>
  <c r="V146" i="1"/>
  <c r="V155" i="1"/>
  <c r="V177" i="1"/>
  <c r="V163" i="1"/>
  <c r="V110" i="1" s="1"/>
  <c r="V171" i="1"/>
  <c r="V4" i="343"/>
  <c r="V3" i="346" s="1"/>
  <c r="V21" i="346" s="1"/>
  <c r="V185" i="1"/>
  <c r="V184" i="1"/>
  <c r="V178" i="1"/>
  <c r="V159" i="1"/>
  <c r="V176" i="1"/>
  <c r="V173" i="1"/>
  <c r="V148" i="1"/>
  <c r="V166" i="1"/>
  <c r="V165" i="1"/>
  <c r="V172" i="1"/>
  <c r="V175" i="1"/>
  <c r="W11" i="1"/>
  <c r="X8" i="1" s="1"/>
  <c r="X9" i="1" s="1"/>
  <c r="X3" i="343" s="1"/>
  <c r="W3" i="343"/>
  <c r="V164" i="1"/>
  <c r="V186" i="1"/>
  <c r="U36" i="1"/>
  <c r="U157" i="1"/>
  <c r="Q121" i="1"/>
  <c r="R120" i="1" s="1"/>
  <c r="V83" i="1"/>
  <c r="V98" i="1"/>
  <c r="V34" i="1"/>
  <c r="V62" i="1" s="1"/>
  <c r="V35" i="1"/>
  <c r="V63" i="1" s="1"/>
  <c r="V79" i="1"/>
  <c r="V181" i="1"/>
  <c r="W12" i="1"/>
  <c r="W10" i="1"/>
  <c r="W4" i="343" s="1"/>
  <c r="V18" i="346" l="1"/>
  <c r="V17" i="346"/>
  <c r="W17" i="346" s="1"/>
  <c r="V15" i="346"/>
  <c r="V19" i="346"/>
  <c r="V16" i="346"/>
  <c r="W16" i="346" s="1"/>
  <c r="V20" i="346"/>
  <c r="W12" i="343"/>
  <c r="W3" i="346"/>
  <c r="V14" i="346"/>
  <c r="V13" i="346"/>
  <c r="V6" i="343"/>
  <c r="V22" i="343" s="1"/>
  <c r="V12" i="343"/>
  <c r="V5" i="343"/>
  <c r="W5" i="343" s="1"/>
  <c r="W147" i="1"/>
  <c r="W186" i="1"/>
  <c r="W172" i="1"/>
  <c r="W166" i="1"/>
  <c r="W159" i="1"/>
  <c r="W164" i="1"/>
  <c r="W148" i="1"/>
  <c r="W178" i="1"/>
  <c r="W177" i="1"/>
  <c r="W163" i="1"/>
  <c r="W175" i="1"/>
  <c r="W173" i="1"/>
  <c r="W184" i="1"/>
  <c r="W146" i="1"/>
  <c r="W171" i="1"/>
  <c r="W165" i="1"/>
  <c r="W176" i="1"/>
  <c r="W185" i="1"/>
  <c r="W155" i="1"/>
  <c r="U107" i="1"/>
  <c r="R121" i="1"/>
  <c r="S120" i="1" s="1"/>
  <c r="W83" i="1"/>
  <c r="W98" i="1"/>
  <c r="W86" i="1"/>
  <c r="V64" i="1"/>
  <c r="W34" i="1"/>
  <c r="W62" i="1" s="1"/>
  <c r="W35" i="1"/>
  <c r="W79" i="1"/>
  <c r="X10" i="1"/>
  <c r="X4" i="343" s="1"/>
  <c r="X12" i="1"/>
  <c r="W181" i="1"/>
  <c r="X11" i="1"/>
  <c r="W14" i="346" l="1"/>
  <c r="W20" i="346"/>
  <c r="W18" i="346"/>
  <c r="W13" i="346"/>
  <c r="W22" i="346"/>
  <c r="X12" i="343"/>
  <c r="X3" i="346"/>
  <c r="W19" i="346"/>
  <c r="W15" i="346"/>
  <c r="W21" i="346"/>
  <c r="W6" i="343"/>
  <c r="W22" i="343" s="1"/>
  <c r="X184" i="1"/>
  <c r="W110" i="1"/>
  <c r="X173" i="1"/>
  <c r="X177" i="1"/>
  <c r="X5" i="343"/>
  <c r="X6" i="343"/>
  <c r="X22" i="343" s="1"/>
  <c r="X172" i="1"/>
  <c r="X185" i="1"/>
  <c r="X171" i="1"/>
  <c r="X175" i="1"/>
  <c r="X178" i="1"/>
  <c r="X186" i="1"/>
  <c r="X176" i="1"/>
  <c r="X146" i="1"/>
  <c r="X148" i="1"/>
  <c r="X147" i="1"/>
  <c r="V36" i="1"/>
  <c r="V157" i="1"/>
  <c r="S121" i="1"/>
  <c r="T120" i="1" s="1"/>
  <c r="X98" i="1"/>
  <c r="X35" i="1"/>
  <c r="W63" i="1"/>
  <c r="X34" i="1"/>
  <c r="X181" i="1"/>
  <c r="Y8" i="1"/>
  <c r="Y9" i="1" s="1"/>
  <c r="Y3" i="343" s="1"/>
  <c r="X13" i="346" l="1"/>
  <c r="X23" i="346"/>
  <c r="X17" i="346"/>
  <c r="X21" i="346"/>
  <c r="X18" i="346"/>
  <c r="X15" i="346"/>
  <c r="X20" i="346"/>
  <c r="Y20" i="346" s="1"/>
  <c r="X16" i="346"/>
  <c r="X19" i="346"/>
  <c r="X22" i="346"/>
  <c r="W24" i="346"/>
  <c r="W6" i="346" s="1"/>
  <c r="W17" i="343" s="1"/>
  <c r="X14" i="346"/>
  <c r="X110" i="1"/>
  <c r="V107" i="1"/>
  <c r="T121" i="1"/>
  <c r="U120" i="1" s="1"/>
  <c r="W64" i="1"/>
  <c r="Y12" i="1"/>
  <c r="Y10" i="1"/>
  <c r="Y4" i="343" s="1"/>
  <c r="Y3" i="346" s="1"/>
  <c r="Y13" i="346" s="1"/>
  <c r="Y11" i="1"/>
  <c r="W97" i="1" l="1"/>
  <c r="Y19" i="346"/>
  <c r="Y17" i="346"/>
  <c r="Y18" i="346"/>
  <c r="Y21" i="346"/>
  <c r="Y23" i="346"/>
  <c r="Y14" i="346"/>
  <c r="Y16" i="346"/>
  <c r="Y15" i="346"/>
  <c r="Y22" i="346"/>
  <c r="Y6" i="343"/>
  <c r="Y22" i="343" s="1"/>
  <c r="Y12" i="343"/>
  <c r="Y185" i="1"/>
  <c r="Y186" i="1"/>
  <c r="Y175" i="1"/>
  <c r="Y173" i="1"/>
  <c r="Y5" i="343"/>
  <c r="Y148" i="1"/>
  <c r="Y158" i="1" s="1"/>
  <c r="Y172" i="1"/>
  <c r="Y176" i="1"/>
  <c r="Y178" i="1"/>
  <c r="Y177" i="1"/>
  <c r="Y184" i="1"/>
  <c r="Y171" i="1"/>
  <c r="Y146" i="1"/>
  <c r="Y156" i="1" s="1"/>
  <c r="Y147" i="1"/>
  <c r="W36" i="1"/>
  <c r="W157" i="1"/>
  <c r="Y98" i="1"/>
  <c r="U121" i="1"/>
  <c r="V120" i="1" s="1"/>
  <c r="V121" i="1" s="1"/>
  <c r="W120" i="1" s="1"/>
  <c r="W121" i="1" s="1"/>
  <c r="X120" i="1" s="1"/>
  <c r="X121" i="1" s="1"/>
  <c r="Y120" i="1" s="1"/>
  <c r="Y121" i="1" s="1"/>
  <c r="Y34" i="1"/>
  <c r="X36" i="1"/>
  <c r="Y35" i="1"/>
  <c r="Z8" i="1"/>
  <c r="Z9" i="1" s="1"/>
  <c r="Y181" i="1"/>
  <c r="Y24" i="346" l="1"/>
  <c r="Y6" i="346" s="1"/>
  <c r="Y17" i="343" s="1"/>
  <c r="Z11" i="1"/>
  <c r="AA8" i="1" s="1"/>
  <c r="AA9" i="1" s="1"/>
  <c r="Z3" i="343"/>
  <c r="Y110" i="1"/>
  <c r="Y36" i="1"/>
  <c r="X107" i="1"/>
  <c r="W107" i="1"/>
  <c r="Z12" i="1"/>
  <c r="Z10" i="1"/>
  <c r="Z178" i="1" s="1"/>
  <c r="Z146" i="1" l="1"/>
  <c r="Z156" i="1" s="1"/>
  <c r="Z148" i="1"/>
  <c r="Z158" i="1" s="1"/>
  <c r="Z176" i="1"/>
  <c r="Z184" i="1"/>
  <c r="Z172" i="1"/>
  <c r="Z185" i="1"/>
  <c r="Z171" i="1"/>
  <c r="AA11" i="1"/>
  <c r="AA3" i="343"/>
  <c r="Z120" i="1"/>
  <c r="Z121" i="1" s="1"/>
  <c r="Z4" i="343"/>
  <c r="Y107" i="1"/>
  <c r="Z173" i="1"/>
  <c r="Z147" i="1"/>
  <c r="Z186" i="1"/>
  <c r="Z175" i="1"/>
  <c r="Z177" i="1"/>
  <c r="Z98" i="1"/>
  <c r="Z34" i="1"/>
  <c r="Z35" i="1"/>
  <c r="Z181" i="1"/>
  <c r="AB8" i="1"/>
  <c r="AB9" i="1" s="1"/>
  <c r="AB3" i="343" s="1"/>
  <c r="AA12" i="1"/>
  <c r="AA10" i="1"/>
  <c r="AA4" i="343" s="1"/>
  <c r="AA12" i="343" l="1"/>
  <c r="AA3" i="346"/>
  <c r="Z12" i="343"/>
  <c r="Z3" i="346"/>
  <c r="AA148" i="1"/>
  <c r="AA158" i="1" s="1"/>
  <c r="AA176" i="1"/>
  <c r="Z110" i="1"/>
  <c r="Z6" i="343"/>
  <c r="Z22" i="343" s="1"/>
  <c r="Z5" i="343"/>
  <c r="AA146" i="1"/>
  <c r="AA156" i="1" s="1"/>
  <c r="AA172" i="1"/>
  <c r="AA177" i="1"/>
  <c r="AA147" i="1"/>
  <c r="AA184" i="1"/>
  <c r="AA171" i="1"/>
  <c r="AA175" i="1"/>
  <c r="AA173" i="1"/>
  <c r="AA186" i="1"/>
  <c r="AA178" i="1"/>
  <c r="AA185" i="1"/>
  <c r="AA98" i="1"/>
  <c r="AA120" i="1"/>
  <c r="AA121" i="1" s="1"/>
  <c r="AA35" i="1"/>
  <c r="AA34" i="1"/>
  <c r="AB10" i="1"/>
  <c r="AB4" i="343" s="1"/>
  <c r="AB12" i="1"/>
  <c r="AA181" i="1"/>
  <c r="AB11" i="1"/>
  <c r="Z13" i="346" l="1"/>
  <c r="Z20" i="346"/>
  <c r="Z18" i="346"/>
  <c r="AA18" i="346" s="1"/>
  <c r="Z16" i="346"/>
  <c r="AA16" i="346" s="1"/>
  <c r="Z21" i="346"/>
  <c r="Z17" i="346"/>
  <c r="AA17" i="346" s="1"/>
  <c r="Z14" i="346"/>
  <c r="Z23" i="346"/>
  <c r="Z15" i="346"/>
  <c r="AA15" i="346" s="1"/>
  <c r="Z19" i="346"/>
  <c r="AA19" i="346" s="1"/>
  <c r="AB19" i="346" s="1"/>
  <c r="Z22" i="346"/>
  <c r="AA13" i="346"/>
  <c r="AB12" i="343"/>
  <c r="AB3" i="346"/>
  <c r="AB185" i="1"/>
  <c r="AB173" i="1"/>
  <c r="AB184" i="1"/>
  <c r="AB146" i="1"/>
  <c r="AB156" i="1" s="1"/>
  <c r="AB186" i="1"/>
  <c r="AB177" i="1"/>
  <c r="AB148" i="1"/>
  <c r="AB158" i="1" s="1"/>
  <c r="AB171" i="1"/>
  <c r="AB172" i="1"/>
  <c r="AA110" i="1"/>
  <c r="AB178" i="1"/>
  <c r="AB175" i="1"/>
  <c r="AB147" i="1"/>
  <c r="AA6" i="343"/>
  <c r="AA22" i="343" s="1"/>
  <c r="AA5" i="343"/>
  <c r="AB176" i="1"/>
  <c r="Z36" i="1"/>
  <c r="AB120" i="1"/>
  <c r="AB121" i="1" s="1"/>
  <c r="AB98" i="1"/>
  <c r="AB34" i="1"/>
  <c r="AB35" i="1"/>
  <c r="AC8" i="1"/>
  <c r="AC9" i="1" s="1"/>
  <c r="AB181" i="1"/>
  <c r="AA23" i="346" l="1"/>
  <c r="AB23" i="346" s="1"/>
  <c r="AB16" i="346"/>
  <c r="AA22" i="346"/>
  <c r="AB22" i="346" s="1"/>
  <c r="AA14" i="346"/>
  <c r="AB14" i="346" s="1"/>
  <c r="AB18" i="346"/>
  <c r="AB17" i="346"/>
  <c r="AA20" i="346"/>
  <c r="AB20" i="346" s="1"/>
  <c r="AB13" i="346"/>
  <c r="AB15" i="346"/>
  <c r="AA21" i="346"/>
  <c r="AB21" i="346" s="1"/>
  <c r="Z24" i="346"/>
  <c r="Z6" i="346" s="1"/>
  <c r="Z17" i="343" s="1"/>
  <c r="AC11" i="1"/>
  <c r="AD8" i="1" s="1"/>
  <c r="AD9" i="1" s="1"/>
  <c r="AC3" i="343"/>
  <c r="AB110" i="1"/>
  <c r="AB6" i="343"/>
  <c r="AB22" i="343" s="1"/>
  <c r="AB5" i="343"/>
  <c r="AA36" i="1"/>
  <c r="AA107" i="1"/>
  <c r="Z107" i="1"/>
  <c r="AC10" i="1"/>
  <c r="AC172" i="1" s="1"/>
  <c r="AC12" i="1"/>
  <c r="AB24" i="346" l="1"/>
  <c r="AB6" i="346" s="1"/>
  <c r="AB17" i="343" s="1"/>
  <c r="AC14" i="346"/>
  <c r="AA24" i="346"/>
  <c r="AA6" i="346" s="1"/>
  <c r="AA17" i="343" s="1"/>
  <c r="AD11" i="1"/>
  <c r="AE8" i="1" s="1"/>
  <c r="AE9" i="1" s="1"/>
  <c r="AD3" i="343"/>
  <c r="AC175" i="1"/>
  <c r="AC147" i="1"/>
  <c r="AC176" i="1"/>
  <c r="AC120" i="1"/>
  <c r="AC121" i="1" s="1"/>
  <c r="AC4" i="343"/>
  <c r="AC3" i="346" s="1"/>
  <c r="AC20" i="346" s="1"/>
  <c r="AC186" i="1"/>
  <c r="AC146" i="1"/>
  <c r="AC156" i="1" s="1"/>
  <c r="AC185" i="1"/>
  <c r="AC184" i="1"/>
  <c r="AC177" i="1"/>
  <c r="AC173" i="1"/>
  <c r="AC148" i="1"/>
  <c r="AC158" i="1" s="1"/>
  <c r="AC178" i="1"/>
  <c r="AC171" i="1"/>
  <c r="AB36" i="1"/>
  <c r="AB107" i="1"/>
  <c r="AC98" i="1"/>
  <c r="AC34" i="1"/>
  <c r="AC35" i="1"/>
  <c r="AD12" i="1"/>
  <c r="AD10" i="1"/>
  <c r="AD4" i="343" s="1"/>
  <c r="AC181" i="1"/>
  <c r="AD14" i="346" l="1"/>
  <c r="AC21" i="346"/>
  <c r="AC17" i="346"/>
  <c r="AD17" i="346" s="1"/>
  <c r="AC23" i="346"/>
  <c r="AC15" i="346"/>
  <c r="AD15" i="346" s="1"/>
  <c r="AD12" i="343"/>
  <c r="AD3" i="346"/>
  <c r="AD13" i="346" s="1"/>
  <c r="AC13" i="346"/>
  <c r="AC19" i="346"/>
  <c r="AD19" i="346" s="1"/>
  <c r="AC16" i="346"/>
  <c r="AC18" i="346"/>
  <c r="AD18" i="346" s="1"/>
  <c r="AC22" i="346"/>
  <c r="AC6" i="343"/>
  <c r="AC22" i="343" s="1"/>
  <c r="AC12" i="343"/>
  <c r="AE11" i="1"/>
  <c r="AF8" i="1" s="1"/>
  <c r="AF9" i="1" s="1"/>
  <c r="AF3" i="343" s="1"/>
  <c r="AE3" i="343"/>
  <c r="AD173" i="1"/>
  <c r="AD178" i="1"/>
  <c r="AD148" i="1"/>
  <c r="AD158" i="1" s="1"/>
  <c r="AD184" i="1"/>
  <c r="AD186" i="1"/>
  <c r="AD185" i="1"/>
  <c r="AC5" i="343"/>
  <c r="AD177" i="1"/>
  <c r="AD147" i="1"/>
  <c r="AC110" i="1"/>
  <c r="AD171" i="1"/>
  <c r="AD146" i="1"/>
  <c r="AD156" i="1" s="1"/>
  <c r="AD176" i="1"/>
  <c r="AD175" i="1"/>
  <c r="AD172" i="1"/>
  <c r="AD98" i="1"/>
  <c r="AD120" i="1"/>
  <c r="AD121" i="1" s="1"/>
  <c r="AD35" i="1"/>
  <c r="AD34" i="1"/>
  <c r="AD181" i="1"/>
  <c r="AE12" i="1"/>
  <c r="AE10" i="1"/>
  <c r="AE4" i="343" s="1"/>
  <c r="AE14" i="346" l="1"/>
  <c r="AD22" i="346"/>
  <c r="AC24" i="346"/>
  <c r="AC6" i="346" s="1"/>
  <c r="AC17" i="343" s="1"/>
  <c r="AD23" i="346"/>
  <c r="AE17" i="346"/>
  <c r="AE18" i="346"/>
  <c r="AE12" i="343"/>
  <c r="AE3" i="346"/>
  <c r="AE13" i="346" s="1"/>
  <c r="AD16" i="346"/>
  <c r="AE16" i="346" s="1"/>
  <c r="AD21" i="346"/>
  <c r="AE21" i="346" s="1"/>
  <c r="AD20" i="346"/>
  <c r="AE20" i="346" s="1"/>
  <c r="AE176" i="1"/>
  <c r="AE177" i="1"/>
  <c r="AE186" i="1"/>
  <c r="AE173" i="1"/>
  <c r="AE172" i="1"/>
  <c r="AE147" i="1"/>
  <c r="AE148" i="1"/>
  <c r="AE158" i="1" s="1"/>
  <c r="AE175" i="1"/>
  <c r="AE171" i="1"/>
  <c r="AE178" i="1"/>
  <c r="AD110" i="1"/>
  <c r="AE146" i="1"/>
  <c r="AE156" i="1" s="1"/>
  <c r="AD5" i="343"/>
  <c r="AD6" i="343"/>
  <c r="AD22" i="343" s="1"/>
  <c r="AE185" i="1"/>
  <c r="AE184" i="1"/>
  <c r="AC36" i="1"/>
  <c r="AE120" i="1"/>
  <c r="AE121" i="1" s="1"/>
  <c r="AE98" i="1"/>
  <c r="AE35" i="1"/>
  <c r="AE34" i="1"/>
  <c r="AE181" i="1"/>
  <c r="AF12" i="1"/>
  <c r="AF10" i="1"/>
  <c r="AF4" i="343" s="1"/>
  <c r="AF11" i="1"/>
  <c r="AD24" i="346" l="1"/>
  <c r="AD6" i="346" s="1"/>
  <c r="AD17" i="343" s="1"/>
  <c r="AE22" i="346"/>
  <c r="AF12" i="343"/>
  <c r="AF3" i="346"/>
  <c r="AE19" i="346"/>
  <c r="AE23" i="346"/>
  <c r="AE15" i="346"/>
  <c r="AF184" i="1"/>
  <c r="AF146" i="1"/>
  <c r="AF156" i="1" s="1"/>
  <c r="AF177" i="1"/>
  <c r="AF178" i="1"/>
  <c r="AF171" i="1"/>
  <c r="AF185" i="1"/>
  <c r="AF173" i="1"/>
  <c r="AE110" i="1"/>
  <c r="AF175" i="1"/>
  <c r="AF147" i="1"/>
  <c r="AF186" i="1"/>
  <c r="AF148" i="1"/>
  <c r="AF158" i="1" s="1"/>
  <c r="AE5" i="343"/>
  <c r="AE6" i="343"/>
  <c r="AE22" i="343" s="1"/>
  <c r="AF176" i="1"/>
  <c r="AF172" i="1"/>
  <c r="AC107" i="1"/>
  <c r="AD36" i="1"/>
  <c r="AD107" i="1"/>
  <c r="AF98" i="1"/>
  <c r="AF120" i="1"/>
  <c r="AF121" i="1" s="1"/>
  <c r="AF34" i="1"/>
  <c r="AF35" i="1"/>
  <c r="AG8" i="1"/>
  <c r="AG9" i="1" s="1"/>
  <c r="AF181" i="1"/>
  <c r="AF13" i="346" l="1"/>
  <c r="AF21" i="346"/>
  <c r="AF16" i="346"/>
  <c r="AF19" i="346"/>
  <c r="AF22" i="346"/>
  <c r="AF23" i="346"/>
  <c r="AE24" i="346"/>
  <c r="AE6" i="346" s="1"/>
  <c r="AE17" i="343" s="1"/>
  <c r="AF14" i="346"/>
  <c r="AF15" i="346"/>
  <c r="AF20" i="346"/>
  <c r="AF18" i="346"/>
  <c r="AF17" i="346"/>
  <c r="AF5" i="343"/>
  <c r="AF6" i="343"/>
  <c r="AF22" i="343" s="1"/>
  <c r="AF110" i="1"/>
  <c r="AG11" i="1"/>
  <c r="AH8" i="1" s="1"/>
  <c r="AH9" i="1" s="1"/>
  <c r="AH3" i="343" s="1"/>
  <c r="AG3" i="343"/>
  <c r="AG10" i="1"/>
  <c r="AG172" i="1" s="1"/>
  <c r="AG12" i="1"/>
  <c r="AG21" i="346" l="1"/>
  <c r="AG14" i="346"/>
  <c r="AF24" i="346"/>
  <c r="AF6" i="346" s="1"/>
  <c r="AF17" i="343" s="1"/>
  <c r="AG176" i="1"/>
  <c r="AG171" i="1"/>
  <c r="AG177" i="1"/>
  <c r="AG146" i="1"/>
  <c r="AG156" i="1" s="1"/>
  <c r="AG173" i="1"/>
  <c r="AG98" i="1"/>
  <c r="AG4" i="343"/>
  <c r="AG3" i="346" s="1"/>
  <c r="AG19" i="346" s="1"/>
  <c r="AG185" i="1"/>
  <c r="AG175" i="1"/>
  <c r="AG178" i="1"/>
  <c r="AG184" i="1"/>
  <c r="AG186" i="1"/>
  <c r="AG148" i="1"/>
  <c r="AG158" i="1" s="1"/>
  <c r="AG147" i="1"/>
  <c r="AE36" i="1"/>
  <c r="AG120" i="1"/>
  <c r="AG121" i="1" s="1"/>
  <c r="AG181" i="1"/>
  <c r="AG35" i="1"/>
  <c r="AG34" i="1"/>
  <c r="AH10" i="1"/>
  <c r="AH12" i="1"/>
  <c r="AH11" i="1"/>
  <c r="AG16" i="346" l="1"/>
  <c r="AG17" i="346"/>
  <c r="AH17" i="346" s="1"/>
  <c r="AG20" i="346"/>
  <c r="AG13" i="346"/>
  <c r="AG23" i="346"/>
  <c r="AH23" i="346" s="1"/>
  <c r="AG22" i="346"/>
  <c r="AG15" i="346"/>
  <c r="AH15" i="346" s="1"/>
  <c r="AG18" i="346"/>
  <c r="AG5" i="343"/>
  <c r="AG12" i="343"/>
  <c r="AH171" i="1"/>
  <c r="AG6" i="343"/>
  <c r="AG22" i="343" s="1"/>
  <c r="AH148" i="1"/>
  <c r="AH158" i="1" s="1"/>
  <c r="AH184" i="1"/>
  <c r="AH185" i="1"/>
  <c r="AH146" i="1"/>
  <c r="AH156" i="1" s="1"/>
  <c r="AH98" i="1"/>
  <c r="AH4" i="343"/>
  <c r="AH3" i="346" s="1"/>
  <c r="AH13" i="346" s="1"/>
  <c r="AH178" i="1"/>
  <c r="AH176" i="1"/>
  <c r="AH177" i="1"/>
  <c r="AH147" i="1"/>
  <c r="AH186" i="1"/>
  <c r="AH175" i="1"/>
  <c r="AH173" i="1"/>
  <c r="AG110" i="1"/>
  <c r="AH110" i="1"/>
  <c r="AH172" i="1"/>
  <c r="AF36" i="1"/>
  <c r="AF107" i="1"/>
  <c r="AE107" i="1"/>
  <c r="AH120" i="1"/>
  <c r="AH121" i="1" s="1"/>
  <c r="AH35" i="1"/>
  <c r="AH34" i="1"/>
  <c r="AH181" i="1"/>
  <c r="AH18" i="346" l="1"/>
  <c r="AG24" i="346"/>
  <c r="AG6" i="346" s="1"/>
  <c r="AG17" i="343" s="1"/>
  <c r="AH16" i="346"/>
  <c r="AH21" i="346"/>
  <c r="AH14" i="346"/>
  <c r="AH22" i="346"/>
  <c r="AH20" i="346"/>
  <c r="AH19" i="346"/>
  <c r="AH6" i="343"/>
  <c r="AH22" i="343" s="1"/>
  <c r="AH12" i="343"/>
  <c r="AH5" i="343"/>
  <c r="AH24" i="346" l="1"/>
  <c r="AH6" i="346" s="1"/>
  <c r="AH17" i="343" s="1"/>
  <c r="AG36" i="1"/>
  <c r="AH36" i="1"/>
  <c r="AH107" i="1" l="1"/>
  <c r="AG107" i="1"/>
  <c r="S61" i="1" l="1"/>
  <c r="O61" i="1"/>
  <c r="R61" i="1"/>
  <c r="T61" i="1"/>
  <c r="P61" i="1"/>
  <c r="Q61" i="1"/>
  <c r="U61" i="1"/>
  <c r="V61" i="1"/>
  <c r="N61" i="1"/>
  <c r="N33" i="1" s="1"/>
  <c r="T33" i="1" l="1"/>
  <c r="P33" i="1"/>
  <c r="AA33" i="1"/>
  <c r="V33" i="1"/>
  <c r="X33" i="1"/>
  <c r="U33" i="1"/>
  <c r="O33" i="1"/>
  <c r="Z33" i="1"/>
  <c r="R33" i="1"/>
  <c r="AE33" i="1"/>
  <c r="AF33" i="1"/>
  <c r="AC33" i="1"/>
  <c r="Q33" i="1"/>
  <c r="AH33" i="1"/>
  <c r="AD33" i="1"/>
  <c r="Y33" i="1"/>
  <c r="AB33" i="1"/>
  <c r="U65" i="1"/>
  <c r="U160" i="1" s="1"/>
  <c r="AG33" i="1"/>
  <c r="W33" i="1"/>
  <c r="S33" i="1"/>
  <c r="AD32" i="1"/>
  <c r="V59" i="1"/>
  <c r="V60" i="1"/>
  <c r="P59" i="1"/>
  <c r="P60" i="1"/>
  <c r="R65" i="1"/>
  <c r="R69" i="1" s="1"/>
  <c r="R59" i="1"/>
  <c r="R60" i="1"/>
  <c r="S60" i="1"/>
  <c r="S59" i="1"/>
  <c r="U60" i="1"/>
  <c r="U59" i="1"/>
  <c r="Q59" i="1"/>
  <c r="Q60" i="1"/>
  <c r="T59" i="1"/>
  <c r="T60" i="1"/>
  <c r="T65" i="1"/>
  <c r="T69" i="1" s="1"/>
  <c r="O65" i="1"/>
  <c r="O60" i="1"/>
  <c r="O59" i="1"/>
  <c r="N59" i="1"/>
  <c r="N31" i="1" s="1"/>
  <c r="N60" i="1"/>
  <c r="N32" i="1" s="1"/>
  <c r="N65" i="1"/>
  <c r="W59" i="1"/>
  <c r="W60" i="1"/>
  <c r="V65" i="1"/>
  <c r="Q65" i="1"/>
  <c r="P65" i="1"/>
  <c r="W65" i="1"/>
  <c r="F40" i="1" s="1"/>
  <c r="S65" i="1"/>
  <c r="R156" i="1" l="1"/>
  <c r="N37" i="1"/>
  <c r="W31" i="1"/>
  <c r="X31" i="1"/>
  <c r="X160" i="1"/>
  <c r="X156" i="1"/>
  <c r="U69" i="1"/>
  <c r="U68" i="1"/>
  <c r="U158" i="1" s="1"/>
  <c r="U156" i="1"/>
  <c r="U67" i="1"/>
  <c r="S32" i="1"/>
  <c r="Q31" i="1"/>
  <c r="AA31" i="1"/>
  <c r="AB31" i="1"/>
  <c r="O156" i="1"/>
  <c r="Y32" i="1"/>
  <c r="Q32" i="1"/>
  <c r="S31" i="1"/>
  <c r="Z31" i="1"/>
  <c r="W32" i="1"/>
  <c r="P32" i="1"/>
  <c r="AF32" i="1"/>
  <c r="N156" i="1"/>
  <c r="N106" i="1" s="1"/>
  <c r="T32" i="1"/>
  <c r="U31" i="1"/>
  <c r="AE31" i="1"/>
  <c r="AH32" i="1"/>
  <c r="AA32" i="1"/>
  <c r="AC32" i="1"/>
  <c r="O31" i="1"/>
  <c r="O160" i="1"/>
  <c r="O32" i="1"/>
  <c r="T31" i="1"/>
  <c r="U32" i="1"/>
  <c r="R31" i="1"/>
  <c r="V32" i="1"/>
  <c r="AD31" i="1"/>
  <c r="AE32" i="1"/>
  <c r="AH31" i="1"/>
  <c r="AB32" i="1"/>
  <c r="Y31" i="1"/>
  <c r="Z32" i="1"/>
  <c r="V31" i="1"/>
  <c r="AF31" i="1"/>
  <c r="AG31" i="1"/>
  <c r="AG32" i="1"/>
  <c r="AC31" i="1"/>
  <c r="R32" i="1"/>
  <c r="P31" i="1"/>
  <c r="X32" i="1"/>
  <c r="R18" i="1"/>
  <c r="Z37" i="1"/>
  <c r="T37" i="1"/>
  <c r="T160" i="1"/>
  <c r="U109" i="1" s="1"/>
  <c r="AG106" i="1"/>
  <c r="T67" i="1"/>
  <c r="T156" i="1"/>
  <c r="AG109" i="1"/>
  <c r="U37" i="1"/>
  <c r="Z108" i="1"/>
  <c r="N69" i="1"/>
  <c r="AB37" i="1"/>
  <c r="AG37" i="1"/>
  <c r="T68" i="1"/>
  <c r="T158" i="1" s="1"/>
  <c r="Y37" i="1"/>
  <c r="AG108" i="1"/>
  <c r="O67" i="1"/>
  <c r="O69" i="1"/>
  <c r="O18" i="1"/>
  <c r="N67" i="1"/>
  <c r="N160" i="1"/>
  <c r="N109" i="1" s="1"/>
  <c r="N18" i="1"/>
  <c r="O37" i="1"/>
  <c r="R67" i="1"/>
  <c r="N68" i="1"/>
  <c r="N158" i="1" s="1"/>
  <c r="N108" i="1" s="1"/>
  <c r="O68" i="1"/>
  <c r="O158" i="1" s="1"/>
  <c r="R160" i="1"/>
  <c r="R68" i="1"/>
  <c r="R158" i="1" s="1"/>
  <c r="Q37" i="1"/>
  <c r="Q18" i="1"/>
  <c r="Q69" i="1"/>
  <c r="Q160" i="1"/>
  <c r="Q68" i="1"/>
  <c r="Q158" i="1" s="1"/>
  <c r="Q156" i="1"/>
  <c r="Q67" i="1"/>
  <c r="AC37" i="1"/>
  <c r="AE37" i="1"/>
  <c r="AF108" i="1"/>
  <c r="AF109" i="1"/>
  <c r="AF37" i="1"/>
  <c r="AH37" i="1"/>
  <c r="AH106" i="1"/>
  <c r="V69" i="1"/>
  <c r="V37" i="1"/>
  <c r="V160" i="1"/>
  <c r="V67" i="1"/>
  <c r="V68" i="1"/>
  <c r="V158" i="1" s="1"/>
  <c r="V156" i="1"/>
  <c r="AA37" i="1"/>
  <c r="W37" i="1"/>
  <c r="W69" i="1"/>
  <c r="W160" i="1"/>
  <c r="W68" i="1"/>
  <c r="W158" i="1" s="1"/>
  <c r="W156" i="1"/>
  <c r="W67" i="1"/>
  <c r="AD37" i="1"/>
  <c r="S37" i="1"/>
  <c r="S69" i="1"/>
  <c r="S68" i="1"/>
  <c r="S158" i="1" s="1"/>
  <c r="S160" i="1"/>
  <c r="S67" i="1"/>
  <c r="S156" i="1"/>
  <c r="X37" i="1"/>
  <c r="X158" i="1"/>
  <c r="P69" i="1"/>
  <c r="P37" i="1"/>
  <c r="P156" i="1"/>
  <c r="P18" i="1"/>
  <c r="P160" i="1"/>
  <c r="P67" i="1"/>
  <c r="P68" i="1"/>
  <c r="P158" i="1" s="1"/>
  <c r="R37" i="1"/>
  <c r="N7" i="346" l="1"/>
  <c r="R106" i="1"/>
  <c r="U70" i="1"/>
  <c r="U71" i="1" s="1"/>
  <c r="U14" i="343" s="1"/>
  <c r="U106" i="1"/>
  <c r="V106" i="1"/>
  <c r="U108" i="1"/>
  <c r="AC108" i="1"/>
  <c r="Y106" i="1"/>
  <c r="AB109" i="1"/>
  <c r="O106" i="1"/>
  <c r="Z106" i="1"/>
  <c r="AF106" i="1"/>
  <c r="T106" i="1"/>
  <c r="AB106" i="1"/>
  <c r="Y109" i="1"/>
  <c r="AC46" i="1"/>
  <c r="Y108" i="1"/>
  <c r="AD46" i="1"/>
  <c r="O109" i="1"/>
  <c r="R109" i="1"/>
  <c r="AE108" i="1"/>
  <c r="AH108" i="1"/>
  <c r="Y46" i="1"/>
  <c r="AC106" i="1"/>
  <c r="Z109" i="1"/>
  <c r="AH109" i="1"/>
  <c r="W108" i="1"/>
  <c r="S106" i="1"/>
  <c r="S70" i="1"/>
  <c r="S71" i="1" s="1"/>
  <c r="W70" i="1"/>
  <c r="W71" i="1" s="1"/>
  <c r="AE106" i="1"/>
  <c r="T109" i="1"/>
  <c r="T70" i="1"/>
  <c r="T108" i="1"/>
  <c r="Q70" i="1"/>
  <c r="Q46" i="1" s="1"/>
  <c r="O108" i="1"/>
  <c r="Q108" i="1"/>
  <c r="R70" i="1"/>
  <c r="R46" i="1" s="1"/>
  <c r="O70" i="1"/>
  <c r="O46" i="1" s="1"/>
  <c r="N70" i="1"/>
  <c r="N170" i="1" s="1"/>
  <c r="R108" i="1"/>
  <c r="P108" i="1"/>
  <c r="P70" i="1"/>
  <c r="P71" i="1" s="1"/>
  <c r="Q106" i="1"/>
  <c r="S109" i="1"/>
  <c r="Q109" i="1"/>
  <c r="AA106" i="1"/>
  <c r="AE109" i="1"/>
  <c r="X109" i="1"/>
  <c r="V70" i="1"/>
  <c r="AD108" i="1"/>
  <c r="S108" i="1"/>
  <c r="AF46" i="1"/>
  <c r="AF170" i="1"/>
  <c r="X106" i="1"/>
  <c r="P106" i="1"/>
  <c r="V108" i="1"/>
  <c r="AD106" i="1"/>
  <c r="AA109" i="1"/>
  <c r="P109" i="1"/>
  <c r="AB108" i="1"/>
  <c r="AA108" i="1"/>
  <c r="X46" i="1"/>
  <c r="X108" i="1"/>
  <c r="W106" i="1"/>
  <c r="W109" i="1"/>
  <c r="V109" i="1"/>
  <c r="AD109" i="1"/>
  <c r="AC109" i="1"/>
  <c r="U15" i="343" l="1"/>
  <c r="U16" i="343" s="1"/>
  <c r="O4" i="346"/>
  <c r="O7" i="346" s="1"/>
  <c r="P4" i="346" s="1"/>
  <c r="U46" i="1"/>
  <c r="P14" i="343"/>
  <c r="P15" i="343" s="1"/>
  <c r="P16" i="343" s="1"/>
  <c r="P53" i="1"/>
  <c r="W76" i="1"/>
  <c r="W54" i="1" s="1"/>
  <c r="W53" i="1"/>
  <c r="S14" i="343"/>
  <c r="S15" i="343" s="1"/>
  <c r="S16" i="343" s="1"/>
  <c r="S53" i="1"/>
  <c r="U76" i="1"/>
  <c r="U53" i="1"/>
  <c r="O170" i="1"/>
  <c r="O111" i="1" s="1"/>
  <c r="O19" i="343" s="1"/>
  <c r="W14" i="343"/>
  <c r="W15" i="343" s="1"/>
  <c r="W16" i="343" s="1"/>
  <c r="U170" i="1"/>
  <c r="U174" i="1" s="1"/>
  <c r="U179" i="1" s="1"/>
  <c r="Z170" i="1"/>
  <c r="Z174" i="1" s="1"/>
  <c r="Z179" i="1" s="1"/>
  <c r="AB170" i="1"/>
  <c r="AB174" i="1" s="1"/>
  <c r="AB179" i="1" s="1"/>
  <c r="AB46" i="1"/>
  <c r="S170" i="1"/>
  <c r="S174" i="1" s="1"/>
  <c r="S179" i="1" s="1"/>
  <c r="S76" i="1"/>
  <c r="AC170" i="1"/>
  <c r="AC111" i="1" s="1"/>
  <c r="AC19" i="343" s="1"/>
  <c r="AB14" i="343"/>
  <c r="AB15" i="343" s="1"/>
  <c r="AB16" i="343" s="1"/>
  <c r="AC14" i="343"/>
  <c r="W46" i="1"/>
  <c r="AH170" i="1"/>
  <c r="AH174" i="1" s="1"/>
  <c r="AH179" i="1" s="1"/>
  <c r="Q71" i="1"/>
  <c r="AH46" i="1"/>
  <c r="AE170" i="1"/>
  <c r="O71" i="1"/>
  <c r="S46" i="1"/>
  <c r="AD14" i="343"/>
  <c r="Y170" i="1"/>
  <c r="Z46" i="1"/>
  <c r="AD170" i="1"/>
  <c r="AD174" i="1" s="1"/>
  <c r="AD179" i="1" s="1"/>
  <c r="W170" i="1"/>
  <c r="W174" i="1" s="1"/>
  <c r="W179" i="1" s="1"/>
  <c r="AE46" i="1"/>
  <c r="R71" i="1"/>
  <c r="R170" i="1"/>
  <c r="AG46" i="1"/>
  <c r="AG170" i="1"/>
  <c r="AG174" i="1" s="1"/>
  <c r="AG179" i="1" s="1"/>
  <c r="N71" i="1"/>
  <c r="T71" i="1"/>
  <c r="T53" i="1" s="1"/>
  <c r="T46" i="1"/>
  <c r="T170" i="1"/>
  <c r="N46" i="1"/>
  <c r="Q170" i="1"/>
  <c r="Q174" i="1" s="1"/>
  <c r="Q179" i="1" s="1"/>
  <c r="P170" i="1"/>
  <c r="P174" i="1" s="1"/>
  <c r="P179" i="1" s="1"/>
  <c r="P46" i="1"/>
  <c r="P76" i="1"/>
  <c r="X170" i="1"/>
  <c r="AA46" i="1"/>
  <c r="AA170" i="1"/>
  <c r="AF14" i="343"/>
  <c r="N111" i="1"/>
  <c r="N19" i="343" s="1"/>
  <c r="N174" i="1"/>
  <c r="N179" i="1" s="1"/>
  <c r="AH14" i="343"/>
  <c r="AE14" i="343"/>
  <c r="AF174" i="1"/>
  <c r="AF179" i="1" s="1"/>
  <c r="Z14" i="343"/>
  <c r="V46" i="1"/>
  <c r="V170" i="1"/>
  <c r="V71" i="1"/>
  <c r="V53" i="1" s="1"/>
  <c r="Y14" i="343"/>
  <c r="P24" i="346" l="1"/>
  <c r="P6" i="346" s="1"/>
  <c r="P17" i="343" s="1"/>
  <c r="Q24" i="346"/>
  <c r="O174" i="1"/>
  <c r="O179" i="1" s="1"/>
  <c r="N76" i="1"/>
  <c r="N54" i="1" s="1"/>
  <c r="N53" i="1"/>
  <c r="W77" i="1"/>
  <c r="W78" i="1" s="1"/>
  <c r="W55" i="1" s="1"/>
  <c r="O14" i="343"/>
  <c r="O15" i="343" s="1"/>
  <c r="O16" i="343" s="1"/>
  <c r="O53" i="1"/>
  <c r="P77" i="1"/>
  <c r="P78" i="1" s="1"/>
  <c r="P55" i="1" s="1"/>
  <c r="P54" i="1"/>
  <c r="R14" i="343"/>
  <c r="R15" i="343" s="1"/>
  <c r="R16" i="343" s="1"/>
  <c r="R53" i="1"/>
  <c r="S77" i="1"/>
  <c r="S78" i="1" s="1"/>
  <c r="S55" i="1" s="1"/>
  <c r="S54" i="1"/>
  <c r="U54" i="1"/>
  <c r="U77" i="1"/>
  <c r="U78" i="1" s="1"/>
  <c r="Q14" i="343"/>
  <c r="Q15" i="343" s="1"/>
  <c r="Q16" i="343" s="1"/>
  <c r="Q53" i="1"/>
  <c r="Z111" i="1"/>
  <c r="Z19" i="343" s="1"/>
  <c r="AC174" i="1"/>
  <c r="AC179" i="1" s="1"/>
  <c r="S111" i="1"/>
  <c r="S19" i="343" s="1"/>
  <c r="T111" i="1"/>
  <c r="T19" i="343" s="1"/>
  <c r="Q76" i="1"/>
  <c r="AD111" i="1"/>
  <c r="AD19" i="343" s="1"/>
  <c r="O76" i="1"/>
  <c r="AE111" i="1"/>
  <c r="AE19" i="343" s="1"/>
  <c r="P111" i="1"/>
  <c r="P19" i="343" s="1"/>
  <c r="AF111" i="1"/>
  <c r="AF19" i="343" s="1"/>
  <c r="AE174" i="1"/>
  <c r="AE179" i="1" s="1"/>
  <c r="Y174" i="1"/>
  <c r="Y179" i="1" s="1"/>
  <c r="Q111" i="1"/>
  <c r="Q19" i="343" s="1"/>
  <c r="R76" i="1"/>
  <c r="Y111" i="1"/>
  <c r="Y19" i="343" s="1"/>
  <c r="AG111" i="1"/>
  <c r="AG19" i="343" s="1"/>
  <c r="R174" i="1"/>
  <c r="R179" i="1" s="1"/>
  <c r="N14" i="343"/>
  <c r="N15" i="343" s="1"/>
  <c r="N16" i="343" s="1"/>
  <c r="G30" i="343" s="1"/>
  <c r="R111" i="1"/>
  <c r="R19" i="343" s="1"/>
  <c r="AH111" i="1"/>
  <c r="AH19" i="343" s="1"/>
  <c r="U111" i="1"/>
  <c r="U19" i="343" s="1"/>
  <c r="T174" i="1"/>
  <c r="T179" i="1" s="1"/>
  <c r="T76" i="1"/>
  <c r="T14" i="343"/>
  <c r="T15" i="343" s="1"/>
  <c r="T16" i="343" s="1"/>
  <c r="AG14" i="343"/>
  <c r="AG15" i="343" s="1"/>
  <c r="AG16" i="343" s="1"/>
  <c r="AB95" i="1"/>
  <c r="AD15" i="343"/>
  <c r="AD16" i="343" s="1"/>
  <c r="AH15" i="343"/>
  <c r="AH16" i="343" s="1"/>
  <c r="AH25" i="343" s="1"/>
  <c r="X14" i="343"/>
  <c r="N77" i="1"/>
  <c r="N78" i="1" s="1"/>
  <c r="N55" i="1" s="1"/>
  <c r="Z15" i="343"/>
  <c r="Z16" i="343" s="1"/>
  <c r="AE15" i="343"/>
  <c r="AE16" i="343" s="1"/>
  <c r="AE25" i="343" s="1"/>
  <c r="AC15" i="343"/>
  <c r="AC16" i="343" s="1"/>
  <c r="AC25" i="343" s="1"/>
  <c r="AF15" i="343"/>
  <c r="AF16" i="343" s="1"/>
  <c r="AA14" i="343"/>
  <c r="X111" i="1"/>
  <c r="X19" i="343" s="1"/>
  <c r="X174" i="1"/>
  <c r="X179" i="1" s="1"/>
  <c r="Y15" i="343"/>
  <c r="Y16" i="343" s="1"/>
  <c r="V111" i="1"/>
  <c r="V19" i="343" s="1"/>
  <c r="V174" i="1"/>
  <c r="V179" i="1" s="1"/>
  <c r="V76" i="1"/>
  <c r="V54" i="1" s="1"/>
  <c r="V14" i="343"/>
  <c r="W111" i="1"/>
  <c r="W19" i="343" s="1"/>
  <c r="AA111" i="1"/>
  <c r="AA19" i="343" s="1"/>
  <c r="AA174" i="1"/>
  <c r="AA179" i="1" s="1"/>
  <c r="AB111" i="1"/>
  <c r="AB19" i="343" s="1"/>
  <c r="P97" i="1" l="1"/>
  <c r="P162" i="1" s="1"/>
  <c r="Z25" i="343"/>
  <c r="AD25" i="343"/>
  <c r="AF25" i="343"/>
  <c r="AG25" i="343"/>
  <c r="Q25" i="343"/>
  <c r="N25" i="343"/>
  <c r="Q6" i="346"/>
  <c r="Q17" i="343" s="1"/>
  <c r="P7" i="346"/>
  <c r="Q4" i="346" s="1"/>
  <c r="R24" i="346"/>
  <c r="O25" i="343"/>
  <c r="R25" i="343"/>
  <c r="T25" i="343"/>
  <c r="U25" i="343"/>
  <c r="P25" i="343"/>
  <c r="S25" i="343"/>
  <c r="W95" i="1"/>
  <c r="W80" i="1"/>
  <c r="W85" i="1" s="1"/>
  <c r="S95" i="1"/>
  <c r="O77" i="1"/>
  <c r="O78" i="1" s="1"/>
  <c r="O55" i="1" s="1"/>
  <c r="O54" i="1"/>
  <c r="P80" i="1"/>
  <c r="P82" i="1" s="1"/>
  <c r="S80" i="1"/>
  <c r="S85" i="1" s="1"/>
  <c r="P95" i="1"/>
  <c r="R77" i="1"/>
  <c r="R78" i="1" s="1"/>
  <c r="R55" i="1" s="1"/>
  <c r="R54" i="1"/>
  <c r="U55" i="1"/>
  <c r="U80" i="1"/>
  <c r="U95" i="1"/>
  <c r="Q77" i="1"/>
  <c r="Q78" i="1" s="1"/>
  <c r="Q55" i="1" s="1"/>
  <c r="Q54" i="1"/>
  <c r="T77" i="1"/>
  <c r="T78" i="1" s="1"/>
  <c r="T55" i="1" s="1"/>
  <c r="T54" i="1"/>
  <c r="AC95" i="1"/>
  <c r="AE95" i="1"/>
  <c r="AF95" i="1"/>
  <c r="X15" i="343"/>
  <c r="X16" i="343" s="1"/>
  <c r="X25" i="343" s="1"/>
  <c r="Z95" i="1"/>
  <c r="AD95" i="1"/>
  <c r="AA15" i="343"/>
  <c r="AA16" i="343" s="1"/>
  <c r="N80" i="1"/>
  <c r="N95" i="1"/>
  <c r="Y95" i="1"/>
  <c r="AH95" i="1"/>
  <c r="V15" i="343"/>
  <c r="V16" i="343" s="1"/>
  <c r="V77" i="1"/>
  <c r="V78" i="1" s="1"/>
  <c r="V55" i="1" s="1"/>
  <c r="Q97" i="1" l="1"/>
  <c r="Q162" i="1" s="1"/>
  <c r="Y25" i="343"/>
  <c r="AA25" i="343"/>
  <c r="AB25" i="343"/>
  <c r="Q7" i="346"/>
  <c r="R4" i="346" s="1"/>
  <c r="R6" i="346"/>
  <c r="R17" i="343" s="1"/>
  <c r="V25" i="343"/>
  <c r="W25" i="343"/>
  <c r="W82" i="1"/>
  <c r="R95" i="1"/>
  <c r="S82" i="1"/>
  <c r="Q80" i="1"/>
  <c r="Q82" i="1" s="1"/>
  <c r="O95" i="1"/>
  <c r="P85" i="1"/>
  <c r="T80" i="1"/>
  <c r="T85" i="1" s="1"/>
  <c r="T95" i="1"/>
  <c r="O80" i="1"/>
  <c r="O82" i="1" s="1"/>
  <c r="Q95" i="1"/>
  <c r="R80" i="1"/>
  <c r="R82" i="1" s="1"/>
  <c r="U85" i="1"/>
  <c r="U82" i="1"/>
  <c r="AG95" i="1"/>
  <c r="V95" i="1"/>
  <c r="V80" i="1"/>
  <c r="N85" i="1"/>
  <c r="N82" i="1"/>
  <c r="N187" i="1"/>
  <c r="N188" i="1" s="1"/>
  <c r="AA95" i="1"/>
  <c r="X95" i="1"/>
  <c r="R97" i="1" l="1"/>
  <c r="R162" i="1" s="1"/>
  <c r="R7" i="346"/>
  <c r="S4" i="346" s="1"/>
  <c r="S24" i="346"/>
  <c r="S6" i="346" s="1"/>
  <c r="S17" i="343" s="1"/>
  <c r="T82" i="1"/>
  <c r="Q85" i="1"/>
  <c r="O85" i="1"/>
  <c r="R85" i="1"/>
  <c r="V82" i="1"/>
  <c r="V85" i="1"/>
  <c r="O187" i="1"/>
  <c r="S97" i="1" l="1"/>
  <c r="S162" i="1" s="1"/>
  <c r="S7" i="346"/>
  <c r="T4" i="346" s="1"/>
  <c r="T24" i="346"/>
  <c r="T6" i="346" s="1"/>
  <c r="T17" i="343" s="1"/>
  <c r="N189" i="1"/>
  <c r="O188" i="1"/>
  <c r="P187" i="1"/>
  <c r="T97" i="1" l="1"/>
  <c r="T162" i="1" s="1"/>
  <c r="T7" i="346"/>
  <c r="U4" i="346" s="1"/>
  <c r="U24" i="346"/>
  <c r="U6" i="346" s="1"/>
  <c r="U17" i="343" s="1"/>
  <c r="O189" i="1"/>
  <c r="P188" i="1"/>
  <c r="Q187" i="1"/>
  <c r="U97" i="1" l="1"/>
  <c r="U162" i="1" s="1"/>
  <c r="U7" i="346"/>
  <c r="V4" i="346" s="1"/>
  <c r="V24" i="346"/>
  <c r="V6" i="346" s="1"/>
  <c r="V17" i="343" s="1"/>
  <c r="P189" i="1"/>
  <c r="R187" i="1"/>
  <c r="Q188" i="1"/>
  <c r="V97" i="1" l="1"/>
  <c r="V162" i="1" s="1"/>
  <c r="W162" i="1" s="1"/>
  <c r="V7" i="346"/>
  <c r="W4" i="346" s="1"/>
  <c r="W7" i="346" s="1"/>
  <c r="X4" i="346" s="1"/>
  <c r="X24" i="346"/>
  <c r="X6" i="346" s="1"/>
  <c r="X17" i="343" s="1"/>
  <c r="Q189" i="1"/>
  <c r="R188" i="1"/>
  <c r="S187" i="1"/>
  <c r="R189" i="1" l="1"/>
  <c r="S188" i="1"/>
  <c r="T187" i="1"/>
  <c r="S189" i="1" l="1"/>
  <c r="U187" i="1"/>
  <c r="T188" i="1"/>
  <c r="T189" i="1" l="1"/>
  <c r="U188" i="1"/>
  <c r="V187" i="1"/>
  <c r="U189" i="1" l="1"/>
  <c r="V188" i="1"/>
  <c r="W187" i="1"/>
  <c r="V189" i="1" l="1"/>
  <c r="W188" i="1"/>
  <c r="X187" i="1"/>
  <c r="W189" i="1" l="1"/>
  <c r="X188" i="1"/>
  <c r="Y187" i="1"/>
  <c r="X189" i="1" l="1"/>
  <c r="Y188" i="1"/>
  <c r="Z187" i="1"/>
  <c r="Y189" i="1" l="1"/>
  <c r="Z188" i="1"/>
  <c r="AA187" i="1"/>
  <c r="Z189" i="1" l="1"/>
  <c r="AA188" i="1"/>
  <c r="AB187" i="1"/>
  <c r="AA189" i="1" l="1"/>
  <c r="AC187" i="1"/>
  <c r="AB188" i="1"/>
  <c r="AB189" i="1" l="1"/>
  <c r="AC188" i="1"/>
  <c r="AD187" i="1"/>
  <c r="AC189" i="1" l="1"/>
  <c r="AD188" i="1"/>
  <c r="AE187" i="1"/>
  <c r="AD189" i="1" l="1"/>
  <c r="AE188" i="1"/>
  <c r="AF187" i="1"/>
  <c r="AE189" i="1" l="1"/>
  <c r="AG187" i="1"/>
  <c r="AF188" i="1"/>
  <c r="AF189" i="1" l="1"/>
  <c r="AH187" i="1"/>
  <c r="AH188" i="1" s="1"/>
  <c r="AG188" i="1"/>
  <c r="AG189" i="1" l="1"/>
  <c r="AH189" i="1"/>
  <c r="N18" i="343" l="1"/>
  <c r="N26" i="343" s="1"/>
  <c r="N91" i="1"/>
  <c r="N123" i="1"/>
  <c r="N20" i="343" l="1"/>
  <c r="N23" i="343" l="1"/>
  <c r="N21" i="343"/>
  <c r="U18" i="343"/>
  <c r="Q18" i="343"/>
  <c r="Q20" i="343" s="1"/>
  <c r="P18" i="343"/>
  <c r="P91" i="1"/>
  <c r="P123" i="1"/>
  <c r="S123" i="1"/>
  <c r="R18" i="343"/>
  <c r="R20" i="343" s="1"/>
  <c r="T18" i="343"/>
  <c r="W123" i="1"/>
  <c r="T123" i="1"/>
  <c r="V18" i="343"/>
  <c r="S18" i="343"/>
  <c r="S20" i="343" s="1"/>
  <c r="R91" i="1"/>
  <c r="R123" i="1"/>
  <c r="T91" i="1"/>
  <c r="S91" i="1"/>
  <c r="U123" i="1"/>
  <c r="Q91" i="1"/>
  <c r="Q123" i="1"/>
  <c r="O18" i="343"/>
  <c r="O20" i="343" s="1"/>
  <c r="U91" i="1"/>
  <c r="V91" i="1"/>
  <c r="V123" i="1"/>
  <c r="W91" i="1"/>
  <c r="X91" i="1" s="1"/>
  <c r="W18" i="343"/>
  <c r="G31" i="343" s="1"/>
  <c r="O91" i="1"/>
  <c r="O123" i="1"/>
  <c r="V26" i="343" l="1"/>
  <c r="S26" i="343"/>
  <c r="O26" i="343"/>
  <c r="U26" i="343"/>
  <c r="Q26" i="343"/>
  <c r="W26" i="343"/>
  <c r="W20" i="343"/>
  <c r="G32" i="343" s="1"/>
  <c r="X117" i="1"/>
  <c r="X5" i="346" s="1"/>
  <c r="Y91" i="1"/>
  <c r="T20" i="343"/>
  <c r="T26" i="343"/>
  <c r="Q23" i="343"/>
  <c r="S23" i="343"/>
  <c r="S21" i="343"/>
  <c r="R23" i="343"/>
  <c r="R21" i="343"/>
  <c r="U20" i="343"/>
  <c r="O23" i="343"/>
  <c r="O21" i="343"/>
  <c r="P20" i="343"/>
  <c r="Q21" i="343" s="1"/>
  <c r="P26" i="343"/>
  <c r="V20" i="343"/>
  <c r="R26" i="343"/>
  <c r="X7" i="346" l="1"/>
  <c r="Y4" i="346" s="1"/>
  <c r="Y117" i="1"/>
  <c r="Y5" i="346" s="1"/>
  <c r="Z91" i="1"/>
  <c r="W21" i="343"/>
  <c r="G34" i="343"/>
  <c r="G35" i="343" s="1"/>
  <c r="W23" i="343"/>
  <c r="U23" i="343"/>
  <c r="U21" i="343"/>
  <c r="X123" i="1"/>
  <c r="X18" i="343"/>
  <c r="V23" i="343"/>
  <c r="V21" i="343"/>
  <c r="P23" i="343"/>
  <c r="P21" i="343"/>
  <c r="T23" i="343"/>
  <c r="T21" i="343"/>
  <c r="Y7" i="346" l="1"/>
  <c r="Z4" i="346" s="1"/>
  <c r="X20" i="343"/>
  <c r="X26" i="343"/>
  <c r="Z117" i="1"/>
  <c r="Z5" i="346" s="1"/>
  <c r="AA91" i="1"/>
  <c r="Y18" i="343"/>
  <c r="Y123" i="1"/>
  <c r="Z7" i="346" l="1"/>
  <c r="AA4" i="346" s="1"/>
  <c r="AB91" i="1"/>
  <c r="AA117" i="1"/>
  <c r="AA5" i="346" s="1"/>
  <c r="Z123" i="1"/>
  <c r="Z18" i="343"/>
  <c r="Y20" i="343"/>
  <c r="Y26" i="343"/>
  <c r="X21" i="343"/>
  <c r="X23" i="343"/>
  <c r="AA7" i="346" l="1"/>
  <c r="AB4" i="346" s="1"/>
  <c r="Y21" i="343"/>
  <c r="Y23" i="343"/>
  <c r="Z20" i="343"/>
  <c r="Z26" i="343"/>
  <c r="AA123" i="1"/>
  <c r="AA18" i="343"/>
  <c r="AC91" i="1"/>
  <c r="AB117" i="1"/>
  <c r="AB5" i="346" s="1"/>
  <c r="AB7" i="346" l="1"/>
  <c r="AC4" i="346" s="1"/>
  <c r="AC117" i="1"/>
  <c r="AC5" i="346" s="1"/>
  <c r="AD91" i="1"/>
  <c r="Z21" i="343"/>
  <c r="Z23" i="343"/>
  <c r="AA20" i="343"/>
  <c r="AA26" i="343"/>
  <c r="AB123" i="1"/>
  <c r="AB18" i="343"/>
  <c r="AC7" i="346" l="1"/>
  <c r="AD4" i="346" s="1"/>
  <c r="AB20" i="343"/>
  <c r="AB26" i="343"/>
  <c r="AD117" i="1"/>
  <c r="AD5" i="346" s="1"/>
  <c r="AE91" i="1"/>
  <c r="AC18" i="343"/>
  <c r="AC123" i="1"/>
  <c r="AA23" i="343"/>
  <c r="AA21" i="343"/>
  <c r="AD7" i="346" l="1"/>
  <c r="AE4" i="346" s="1"/>
  <c r="AD123" i="1"/>
  <c r="AD18" i="343"/>
  <c r="AB21" i="343"/>
  <c r="AB23" i="343"/>
  <c r="AC20" i="343"/>
  <c r="AC26" i="343"/>
  <c r="AE117" i="1"/>
  <c r="AE5" i="346" s="1"/>
  <c r="AF91" i="1"/>
  <c r="AE7" i="346" l="1"/>
  <c r="AF4" i="346" s="1"/>
  <c r="AE123" i="1"/>
  <c r="AE18" i="343"/>
  <c r="AC21" i="343"/>
  <c r="AC23" i="343"/>
  <c r="AD26" i="343"/>
  <c r="AD20" i="343"/>
  <c r="AG91" i="1"/>
  <c r="AF117" i="1"/>
  <c r="AF5" i="346" s="1"/>
  <c r="AF7" i="346" l="1"/>
  <c r="AG4" i="346" s="1"/>
  <c r="AE26" i="343"/>
  <c r="AE20" i="343"/>
  <c r="AG117" i="1"/>
  <c r="AG5" i="346" s="1"/>
  <c r="AH91" i="1"/>
  <c r="AH117" i="1" s="1"/>
  <c r="AH5" i="346" s="1"/>
  <c r="AD23" i="343"/>
  <c r="AD21" i="343"/>
  <c r="AF123" i="1"/>
  <c r="AF18" i="343"/>
  <c r="AG7" i="346" l="1"/>
  <c r="AH4" i="346" s="1"/>
  <c r="AH7" i="346" s="1"/>
  <c r="AF26" i="343"/>
  <c r="AF20" i="343"/>
  <c r="AH18" i="343"/>
  <c r="AH123" i="1"/>
  <c r="AG18" i="343"/>
  <c r="AG123" i="1"/>
  <c r="AE21" i="343"/>
  <c r="AE23" i="343"/>
  <c r="AG20" i="343" l="1"/>
  <c r="AG26" i="343"/>
  <c r="AH26" i="343"/>
  <c r="AH20" i="343"/>
  <c r="AF23" i="343"/>
  <c r="AF21" i="343"/>
  <c r="AH23" i="343" l="1"/>
  <c r="AH21" i="343"/>
  <c r="AG21" i="343"/>
  <c r="AG23" i="343"/>
  <c r="G36" i="343" l="1"/>
  <c r="G37" i="343" s="1"/>
  <c r="G42" i="343" l="1"/>
  <c r="G44" i="343" s="1"/>
  <c r="H37" i="343"/>
  <c r="H35" i="343"/>
  <c r="H36" i="343"/>
  <c r="H49" i="343" l="1"/>
  <c r="L8" i="343"/>
  <c r="G46" i="343"/>
  <c r="H60" i="343"/>
  <c r="N90" i="1"/>
  <c r="N115" i="1"/>
  <c r="N135" i="1" s="1"/>
  <c r="N154" i="1" l="1"/>
  <c r="N161" i="1" s="1"/>
  <c r="N167" i="1" s="1"/>
  <c r="N191" i="1" s="1"/>
  <c r="N137" i="1"/>
  <c r="O136" i="1" s="1"/>
  <c r="R90" i="1"/>
  <c r="R115" i="1"/>
  <c r="R135" i="1" s="1"/>
  <c r="S115" i="1"/>
  <c r="S135" i="1" s="1"/>
  <c r="U115" i="1"/>
  <c r="U135" i="1" s="1"/>
  <c r="Q115" i="1"/>
  <c r="Q135" i="1" s="1"/>
  <c r="T115" i="1"/>
  <c r="T135" i="1" s="1"/>
  <c r="T90" i="1"/>
  <c r="W115" i="1"/>
  <c r="W135" i="1" s="1"/>
  <c r="V90" i="1"/>
  <c r="V115" i="1"/>
  <c r="V135" i="1" s="1"/>
  <c r="S90" i="1"/>
  <c r="W90" i="1"/>
  <c r="X90" i="1" s="1"/>
  <c r="X97" i="1" s="1"/>
  <c r="X115" i="1" s="1"/>
  <c r="X135" i="1" s="1"/>
  <c r="Q90" i="1"/>
  <c r="P90" i="1"/>
  <c r="P115" i="1"/>
  <c r="P135" i="1" s="1"/>
  <c r="U90" i="1"/>
  <c r="O90" i="1"/>
  <c r="O115" i="1"/>
  <c r="O135" i="1" s="1"/>
  <c r="N27" i="343" l="1"/>
  <c r="N28" i="343" s="1"/>
  <c r="X162" i="1"/>
  <c r="Y90" i="1"/>
  <c r="Z90" i="1" s="1"/>
  <c r="O137" i="1"/>
  <c r="P136" i="1" s="1"/>
  <c r="P137" i="1" s="1"/>
  <c r="Q136" i="1" s="1"/>
  <c r="Q137" i="1" s="1"/>
  <c r="R136" i="1" s="1"/>
  <c r="R137" i="1" s="1"/>
  <c r="S136" i="1" s="1"/>
  <c r="S137" i="1" s="1"/>
  <c r="T136" i="1" s="1"/>
  <c r="T137" i="1" s="1"/>
  <c r="U136" i="1" s="1"/>
  <c r="U137" i="1" s="1"/>
  <c r="V136" i="1" s="1"/>
  <c r="V137" i="1" s="1"/>
  <c r="W136" i="1" s="1"/>
  <c r="W137" i="1" s="1"/>
  <c r="X136" i="1" s="1"/>
  <c r="X137" i="1" s="1"/>
  <c r="Y136" i="1" s="1"/>
  <c r="O154" i="1"/>
  <c r="Y97" i="1" l="1"/>
  <c r="Y115" i="1" s="1"/>
  <c r="Y135" i="1" s="1"/>
  <c r="Y137" i="1" s="1"/>
  <c r="Z136" i="1" s="1"/>
  <c r="AA90" i="1"/>
  <c r="Z97" i="1"/>
  <c r="Z115" i="1" s="1"/>
  <c r="Z135" i="1" s="1"/>
  <c r="O161" i="1"/>
  <c r="O167" i="1" s="1"/>
  <c r="O191" i="1" s="1"/>
  <c r="P154" i="1"/>
  <c r="O27" i="343"/>
  <c r="O28" i="343" s="1"/>
  <c r="Y162" i="1" l="1"/>
  <c r="Z162" i="1" s="1"/>
  <c r="Z137" i="1"/>
  <c r="AA136" i="1" s="1"/>
  <c r="P27" i="343"/>
  <c r="P28" i="343" s="1"/>
  <c r="P161" i="1"/>
  <c r="P167" i="1" s="1"/>
  <c r="P191" i="1" s="1"/>
  <c r="Q154" i="1"/>
  <c r="AA97" i="1"/>
  <c r="AA115" i="1" s="1"/>
  <c r="AA135" i="1" s="1"/>
  <c r="AB90" i="1"/>
  <c r="AA137" i="1" l="1"/>
  <c r="AB136" i="1" s="1"/>
  <c r="AB97" i="1"/>
  <c r="AB115" i="1" s="1"/>
  <c r="AB135" i="1" s="1"/>
  <c r="AC90" i="1"/>
  <c r="R154" i="1"/>
  <c r="Q161" i="1"/>
  <c r="Q167" i="1" s="1"/>
  <c r="Q191" i="1" s="1"/>
  <c r="Q27" i="343"/>
  <c r="Q28" i="343" s="1"/>
  <c r="AA162" i="1"/>
  <c r="AB137" i="1" l="1"/>
  <c r="AC136" i="1" s="1"/>
  <c r="AB162" i="1"/>
  <c r="AD90" i="1"/>
  <c r="AC97" i="1"/>
  <c r="AC115" i="1" s="1"/>
  <c r="AC135" i="1" s="1"/>
  <c r="R161" i="1"/>
  <c r="R167" i="1" s="1"/>
  <c r="R191" i="1" s="1"/>
  <c r="S154" i="1"/>
  <c r="R27" i="343"/>
  <c r="R28" i="343" s="1"/>
  <c r="AC137" i="1" l="1"/>
  <c r="AD136" i="1" s="1"/>
  <c r="AC162" i="1"/>
  <c r="AE90" i="1"/>
  <c r="AD97" i="1"/>
  <c r="AD115" i="1" s="1"/>
  <c r="AD135" i="1" s="1"/>
  <c r="S161" i="1"/>
  <c r="S167" i="1" s="1"/>
  <c r="S191" i="1" s="1"/>
  <c r="T154" i="1"/>
  <c r="S27" i="343"/>
  <c r="S28" i="343" s="1"/>
  <c r="AD137" i="1" l="1"/>
  <c r="AE136" i="1" s="1"/>
  <c r="AE97" i="1"/>
  <c r="AE115" i="1" s="1"/>
  <c r="AE135" i="1" s="1"/>
  <c r="AF90" i="1"/>
  <c r="T27" i="343"/>
  <c r="T28" i="343" s="1"/>
  <c r="T161" i="1"/>
  <c r="T167" i="1" s="1"/>
  <c r="T191" i="1" s="1"/>
  <c r="U154" i="1"/>
  <c r="AD162" i="1"/>
  <c r="AE137" i="1" l="1"/>
  <c r="AF136" i="1" s="1"/>
  <c r="U27" i="343"/>
  <c r="U28" i="343" s="1"/>
  <c r="U161" i="1"/>
  <c r="U167" i="1" s="1"/>
  <c r="U191" i="1" s="1"/>
  <c r="V154" i="1"/>
  <c r="AE162" i="1"/>
  <c r="AG90" i="1"/>
  <c r="AF97" i="1"/>
  <c r="AF115" i="1" s="1"/>
  <c r="AF135" i="1" s="1"/>
  <c r="AF137" i="1" l="1"/>
  <c r="AG136" i="1" s="1"/>
  <c r="V27" i="343"/>
  <c r="V28" i="343" s="1"/>
  <c r="W154" i="1"/>
  <c r="V161" i="1"/>
  <c r="V167" i="1" s="1"/>
  <c r="V191" i="1" s="1"/>
  <c r="AH90" i="1"/>
  <c r="AH97" i="1" s="1"/>
  <c r="AH115" i="1" s="1"/>
  <c r="AH135" i="1" s="1"/>
  <c r="AG97" i="1"/>
  <c r="AG115" i="1" s="1"/>
  <c r="AG135" i="1" s="1"/>
  <c r="AF162" i="1"/>
  <c r="AG137" i="1" l="1"/>
  <c r="AH136" i="1" s="1"/>
  <c r="AH137" i="1" s="1"/>
  <c r="AG162" i="1"/>
  <c r="AH162" i="1" s="1"/>
  <c r="W161" i="1"/>
  <c r="W167" i="1" s="1"/>
  <c r="W191" i="1" s="1"/>
  <c r="X154" i="1"/>
  <c r="W27" i="343"/>
  <c r="W28" i="343" s="1"/>
  <c r="X161" i="1" l="1"/>
  <c r="X167" i="1" s="1"/>
  <c r="X191" i="1" s="1"/>
  <c r="X27" i="343"/>
  <c r="X28" i="343" s="1"/>
  <c r="Y154" i="1"/>
  <c r="Z154" i="1" l="1"/>
  <c r="Y27" i="343"/>
  <c r="Y28" i="343" s="1"/>
  <c r="Y161" i="1"/>
  <c r="Y167" i="1" s="1"/>
  <c r="Y191" i="1" s="1"/>
  <c r="Z27" i="343" l="1"/>
  <c r="Z28" i="343" s="1"/>
  <c r="AA154" i="1"/>
  <c r="Z161" i="1"/>
  <c r="Z167" i="1" s="1"/>
  <c r="Z191" i="1" s="1"/>
  <c r="AA27" i="343" l="1"/>
  <c r="AA28" i="343" s="1"/>
  <c r="AA161" i="1"/>
  <c r="AA167" i="1" s="1"/>
  <c r="AA191" i="1" s="1"/>
  <c r="AB154" i="1"/>
  <c r="AB161" i="1" l="1"/>
  <c r="AB167" i="1" s="1"/>
  <c r="AB191" i="1" s="1"/>
  <c r="AB27" i="343"/>
  <c r="AB28" i="343" s="1"/>
  <c r="AC154" i="1"/>
  <c r="AD154" i="1" l="1"/>
  <c r="AC161" i="1"/>
  <c r="AC167" i="1" s="1"/>
  <c r="AC191" i="1" s="1"/>
  <c r="AC27" i="343"/>
  <c r="AC28" i="343" s="1"/>
  <c r="AD27" i="343" l="1"/>
  <c r="AD28" i="343" s="1"/>
  <c r="AE154" i="1"/>
  <c r="AD161" i="1"/>
  <c r="AD167" i="1" s="1"/>
  <c r="AD191" i="1" s="1"/>
  <c r="AF154" i="1" l="1"/>
  <c r="AE161" i="1"/>
  <c r="AE167" i="1" s="1"/>
  <c r="AE191" i="1" s="1"/>
  <c r="AE27" i="343"/>
  <c r="AE28" i="343" s="1"/>
  <c r="AF161" i="1" l="1"/>
  <c r="AF167" i="1" s="1"/>
  <c r="AF191" i="1" s="1"/>
  <c r="AF27" i="343"/>
  <c r="AF28" i="343" s="1"/>
  <c r="AG154" i="1"/>
  <c r="AG161" i="1" l="1"/>
  <c r="AG167" i="1" s="1"/>
  <c r="AG191" i="1" s="1"/>
  <c r="AG27" i="343"/>
  <c r="AG28" i="343" s="1"/>
  <c r="AH154" i="1"/>
  <c r="AH161" i="1" l="1"/>
  <c r="AH167" i="1" s="1"/>
  <c r="AH191" i="1" s="1"/>
  <c r="AH27" i="343"/>
  <c r="AH28" i="343" s="1"/>
</calcChain>
</file>

<file path=xl/comments1.xml><?xml version="1.0" encoding="utf-8"?>
<comments xmlns="http://schemas.openxmlformats.org/spreadsheetml/2006/main">
  <authors>
    <author>user</author>
  </authors>
  <commentList>
    <comment ref="D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https://www.grandviewresearch.com/industry-analysis/online-salvage-auctions-market-report</t>
        </r>
      </text>
    </comment>
  </commentList>
</comments>
</file>

<file path=xl/sharedStrings.xml><?xml version="1.0" encoding="utf-8"?>
<sst xmlns="http://schemas.openxmlformats.org/spreadsheetml/2006/main" count="7945" uniqueCount="1826">
  <si>
    <t/>
  </si>
  <si>
    <t>14</t>
  </si>
  <si>
    <t>27</t>
  </si>
  <si>
    <t>$</t>
  </si>
  <si>
    <t>—</t>
  </si>
  <si>
    <t>Germany</t>
  </si>
  <si>
    <t>United States</t>
  </si>
  <si>
    <t>United Kingdom</t>
  </si>
  <si>
    <t>(34,043)</t>
  </si>
  <si>
    <t>(14,580)</t>
  </si>
  <si>
    <t>(15,260)</t>
  </si>
  <si>
    <t>%</t>
  </si>
  <si>
    <t>Income taxes</t>
  </si>
  <si>
    <t>250,824</t>
  </si>
  <si>
    <t>185,351</t>
  </si>
  <si>
    <t>100,932</t>
  </si>
  <si>
    <t>1,176,683</t>
  </si>
  <si>
    <t>990,891</t>
  </si>
  <si>
    <t>917,885</t>
  </si>
  <si>
    <t>(442,310)</t>
  </si>
  <si>
    <t>(465,466)</t>
  </si>
  <si>
    <t>(601,208)</t>
  </si>
  <si>
    <t>(382,693)</t>
  </si>
  <si>
    <t>40,922</t>
  </si>
  <si>
    <t>(27,414)</t>
  </si>
  <si>
    <t>(337,448)</t>
  </si>
  <si>
    <t>(462,996)</t>
  </si>
  <si>
    <t>(591,972)</t>
  </si>
  <si>
    <t>(106,604)</t>
  </si>
  <si>
    <t>(5,000)</t>
  </si>
  <si>
    <t>(11,702)</t>
  </si>
  <si>
    <t>Service revenues</t>
  </si>
  <si>
    <t>2,533,165</t>
  </si>
  <si>
    <t>2,017,504</t>
  </si>
  <si>
    <t>1,714,724</t>
  </si>
  <si>
    <t>International</t>
  </si>
  <si>
    <t>319,875</t>
  </si>
  <si>
    <t>274,363</t>
  </si>
  <si>
    <t>232,416</t>
  </si>
  <si>
    <t>Total service revenues</t>
  </si>
  <si>
    <t>2,853,040</t>
  </si>
  <si>
    <t>2,291,867</t>
  </si>
  <si>
    <t>1,947,140</t>
  </si>
  <si>
    <t>Vehicle sales</t>
  </si>
  <si>
    <t>411,985</t>
  </si>
  <si>
    <t>254,568</t>
  </si>
  <si>
    <t>145,962</t>
  </si>
  <si>
    <t>235,896</t>
  </si>
  <si>
    <t>146,076</t>
  </si>
  <si>
    <t>112,481</t>
  </si>
  <si>
    <t>Total vehicle sales</t>
  </si>
  <si>
    <t>647,881</t>
  </si>
  <si>
    <t>400,644</t>
  </si>
  <si>
    <t>258,443</t>
  </si>
  <si>
    <t>ASSETS</t>
  </si>
  <si>
    <t>Current assets:</t>
  </si>
  <si>
    <t>Cash, cash equivalents, and restricted cash</t>
  </si>
  <si>
    <t>1,384,236</t>
  </si>
  <si>
    <t>1,048,260</t>
  </si>
  <si>
    <t>Accounts receivable, net</t>
  </si>
  <si>
    <t>578,573</t>
  </si>
  <si>
    <t>480,628</t>
  </si>
  <si>
    <t>Vehicle pooling costs</t>
  </si>
  <si>
    <t>112,242</t>
  </si>
  <si>
    <t>94,449</t>
  </si>
  <si>
    <t>Inventories</t>
  </si>
  <si>
    <t>58,791</t>
  </si>
  <si>
    <t>44,968</t>
  </si>
  <si>
    <t>Income taxes receivable</t>
  </si>
  <si>
    <t>49,882</t>
  </si>
  <si>
    <t>20,012</t>
  </si>
  <si>
    <t>Prepaid expenses and other assets</t>
  </si>
  <si>
    <t>18,731</t>
  </si>
  <si>
    <t>14,294</t>
  </si>
  <si>
    <t>Total current assets</t>
  </si>
  <si>
    <t>2,202,455</t>
  </si>
  <si>
    <t>1,702,611</t>
  </si>
  <si>
    <t>Property and equipment, net</t>
  </si>
  <si>
    <t>2,485,764</t>
  </si>
  <si>
    <t>2,296,624</t>
  </si>
  <si>
    <t>Operating lease right-of-use assets</t>
  </si>
  <si>
    <t>116,303</t>
  </si>
  <si>
    <t>119,487</t>
  </si>
  <si>
    <t>Intangibles, net</t>
  </si>
  <si>
    <t>54,680</t>
  </si>
  <si>
    <t>45,873</t>
  </si>
  <si>
    <t>Goodwill</t>
  </si>
  <si>
    <t>401,954</t>
  </si>
  <si>
    <t>355,717</t>
  </si>
  <si>
    <t>Other assets</t>
  </si>
  <si>
    <t>47,708</t>
  </si>
  <si>
    <t>41,831</t>
  </si>
  <si>
    <t>Total assets</t>
  </si>
  <si>
    <t>5,308,864</t>
  </si>
  <si>
    <t>4,562,143</t>
  </si>
  <si>
    <t>LIABILITIES AND STOCKHOLDERS’ EQUITY</t>
  </si>
  <si>
    <t>Current liabilities:</t>
  </si>
  <si>
    <t>Accounts payable and accrued liabilities</t>
  </si>
  <si>
    <t>399,034</t>
  </si>
  <si>
    <t>369,826</t>
  </si>
  <si>
    <t>Deferred revenue</t>
  </si>
  <si>
    <t>20,061</t>
  </si>
  <si>
    <t>20,973</t>
  </si>
  <si>
    <t>Income taxes payable</t>
  </si>
  <si>
    <t>7,760</t>
  </si>
  <si>
    <t>Current portion of operating and finance lease liabilities</t>
  </si>
  <si>
    <t>21,794</t>
  </si>
  <si>
    <t>22,472</t>
  </si>
  <si>
    <t>Total current liabilities</t>
  </si>
  <si>
    <t>440,889</t>
  </si>
  <si>
    <t>421,031</t>
  </si>
  <si>
    <t>Deferred income taxes</t>
  </si>
  <si>
    <t>80,060</t>
  </si>
  <si>
    <t>63,969</t>
  </si>
  <si>
    <t>64,637</t>
  </si>
  <si>
    <t>52,345</t>
  </si>
  <si>
    <t>Operating and finance lease liabilities, net of current portion</t>
  </si>
  <si>
    <t>95,683</t>
  </si>
  <si>
    <t>97,961</t>
  </si>
  <si>
    <t>Long-term debt and other liabilities, net of discount</t>
  </si>
  <si>
    <t>1,996</t>
  </si>
  <si>
    <t>397,636</t>
  </si>
  <si>
    <t>Total liabilities</t>
  </si>
  <si>
    <t>683,265</t>
  </si>
  <si>
    <t>1,032,942</t>
  </si>
  <si>
    <t>Commitments and contingencies</t>
  </si>
  <si>
    <t>Stockholders’ equity:</t>
  </si>
  <si>
    <t>Preferred stock: $0.0001 par value—5,000,000 shares authorized; none issued</t>
  </si>
  <si>
    <t>Common stock: $0.0001 par value—400,000,000 shares authorized; 238,040,974 and 237,014,273 shares issued and outstanding, respectively</t>
  </si>
  <si>
    <t>24</t>
  </si>
  <si>
    <t>Additional paid-in capital</t>
  </si>
  <si>
    <t>838,532</t>
  </si>
  <si>
    <t>761,834</t>
  </si>
  <si>
    <t>Accumulated other comprehensive loss</t>
  </si>
  <si>
    <t>(169,365)</t>
  </si>
  <si>
    <t>(100,860)</t>
  </si>
  <si>
    <t>Retained earnings</t>
  </si>
  <si>
    <t>3,956,408</t>
  </si>
  <si>
    <t>2,868,203</t>
  </si>
  <si>
    <t>Total stockholders’ equity</t>
  </si>
  <si>
    <t>4,625,599</t>
  </si>
  <si>
    <t>3,529,201</t>
  </si>
  <si>
    <t>Total liabilities and stockholders’ equity</t>
  </si>
  <si>
    <t>Service revenues and vehicle sales:</t>
  </si>
  <si>
    <t>Total service revenues and vehicle sales</t>
  </si>
  <si>
    <t>3,500,921</t>
  </si>
  <si>
    <t>2,692,511</t>
  </si>
  <si>
    <t>2,205,583</t>
  </si>
  <si>
    <t>Operating expenses:</t>
  </si>
  <si>
    <t>Yard operations</t>
  </si>
  <si>
    <t>1,309,497</t>
  </si>
  <si>
    <t>1,003,292</t>
  </si>
  <si>
    <t>972,487</t>
  </si>
  <si>
    <t>Cost of vehicle sales</t>
  </si>
  <si>
    <t>585,203</t>
  </si>
  <si>
    <t>346,128</t>
  </si>
  <si>
    <t>225,294</t>
  </si>
  <si>
    <t>General and administrative</t>
  </si>
  <si>
    <t>231,224</t>
  </si>
  <si>
    <t>206,665</t>
  </si>
  <si>
    <t>191,703</t>
  </si>
  <si>
    <t>Total operating expenses</t>
  </si>
  <si>
    <t>2,125,924</t>
  </si>
  <si>
    <t>1,556,085</t>
  </si>
  <si>
    <t>1,389,484</t>
  </si>
  <si>
    <t>Operating income</t>
  </si>
  <si>
    <t>1,374,997</t>
  </si>
  <si>
    <t>1,136,426</t>
  </si>
  <si>
    <t>816,099</t>
  </si>
  <si>
    <t>Other expense:</t>
  </si>
  <si>
    <t>Interest expense, net</t>
  </si>
  <si>
    <t>(16,688)</t>
  </si>
  <si>
    <t>(20,247)</t>
  </si>
  <si>
    <t>(18,871)</t>
  </si>
  <si>
    <t>Loss on extinguishment of debt</t>
  </si>
  <si>
    <t>(16,759)</t>
  </si>
  <si>
    <t>Other (expense) income, net</t>
  </si>
  <si>
    <t>(596)</t>
  </si>
  <si>
    <t>5,667</t>
  </si>
  <si>
    <t>3,611</t>
  </si>
  <si>
    <t>Total other expense</t>
  </si>
  <si>
    <t>( 14,580)</t>
  </si>
  <si>
    <t>Income before income taxes</t>
  </si>
  <si>
    <t>1,340,954</t>
  </si>
  <si>
    <t>1,121,846</t>
  </si>
  <si>
    <t>800,839</t>
  </si>
  <si>
    <t>Income tax expense</t>
  </si>
  <si>
    <t>Net income</t>
  </si>
  <si>
    <t>1,090,130</t>
  </si>
  <si>
    <t>936,495</t>
  </si>
  <si>
    <t>699,907</t>
  </si>
  <si>
    <t>Basic net income per common share</t>
  </si>
  <si>
    <t>4.59</t>
  </si>
  <si>
    <t>3.96</t>
  </si>
  <si>
    <t>3.00</t>
  </si>
  <si>
    <t>Weighted average common shares outstanding</t>
  </si>
  <si>
    <t>237,419</t>
  </si>
  <si>
    <t>236,252</t>
  </si>
  <si>
    <t>233,202</t>
  </si>
  <si>
    <t>Diluted net income per common share</t>
  </si>
  <si>
    <t>4.52</t>
  </si>
  <si>
    <t>3.90</t>
  </si>
  <si>
    <t>2.93</t>
  </si>
  <si>
    <t>Diluted weighted average common shares outstanding</t>
  </si>
  <si>
    <t>241,151</t>
  </si>
  <si>
    <t>240,290</t>
  </si>
  <si>
    <t>238,656</t>
  </si>
  <si>
    <t>23,322</t>
  </si>
  <si>
    <t>8,276</t>
  </si>
  <si>
    <t>39,049</t>
  </si>
  <si>
    <t>(6,145)</t>
  </si>
  <si>
    <t>9,136</t>
  </si>
  <si>
    <t>28,108</t>
  </si>
  <si>
    <t>(1,925)</t>
  </si>
  <si>
    <t>38,965</t>
  </si>
  <si>
    <t>9,625</t>
  </si>
  <si>
    <t>Cash flows from operating activities:</t>
  </si>
  <si>
    <t>Adjustments to reconcile net income to net cash provided by operating activities:</t>
  </si>
  <si>
    <t>Depreciation and amortization, including debt cost</t>
  </si>
  <si>
    <t>138,605</t>
  </si>
  <si>
    <t>123,084</t>
  </si>
  <si>
    <t>104,257</t>
  </si>
  <si>
    <t>Allowance for credit loss</t>
  </si>
  <si>
    <t>1,349</t>
  </si>
  <si>
    <t>(1,121)</t>
  </si>
  <si>
    <t>1,670</t>
  </si>
  <si>
    <t>Equity in (earnings) losses of unconsolidated affiliates</t>
  </si>
  <si>
    <t>284</t>
  </si>
  <si>
    <t>(3,240)</t>
  </si>
  <si>
    <t>1,401</t>
  </si>
  <si>
    <t>Stock-based compensation</t>
  </si>
  <si>
    <t>Gain on sale of property and equipment</t>
  </si>
  <si>
    <t>(939)</t>
  </si>
  <si>
    <t>(1,480)</t>
  </si>
  <si>
    <t>(1,913)</t>
  </si>
  <si>
    <t>16,759</t>
  </si>
  <si>
    <t>17,017</t>
  </si>
  <si>
    <t>(7,951)</t>
  </si>
  <si>
    <t>23,082</t>
  </si>
  <si>
    <t>Changes in operating assets and liabilities, net of effects from acquisitions:</t>
  </si>
  <si>
    <t>Accounts receivable</t>
  </si>
  <si>
    <t>(97,750)</t>
  </si>
  <si>
    <t>(127,513)</t>
  </si>
  <si>
    <t>15,993</t>
  </si>
  <si>
    <t>(18,342)</t>
  </si>
  <si>
    <t>(20,476)</t>
  </si>
  <si>
    <t>2,590</t>
  </si>
  <si>
    <t>(10,851)</t>
  </si>
  <si>
    <t>(24,602)</t>
  </si>
  <si>
    <t>1,348</t>
  </si>
  <si>
    <t>Prepaid expenses and other current and non-current assets</t>
  </si>
  <si>
    <t>(5,156)</t>
  </si>
  <si>
    <t>7,025</t>
  </si>
  <si>
    <t>141</t>
  </si>
  <si>
    <t>Operating lease right-of-use assets and lease liabilities</t>
  </si>
  <si>
    <t>715</t>
  </si>
  <si>
    <t>570</t>
  </si>
  <si>
    <t>(572)</t>
  </si>
  <si>
    <t>36,306</t>
  </si>
  <si>
    <t>44,613</t>
  </si>
  <si>
    <t>41,648</t>
  </si>
  <si>
    <t>(574)</t>
  </si>
  <si>
    <t>8,781</t>
  </si>
  <si>
    <t>1,615</t>
  </si>
  <si>
    <t>(29,884)</t>
  </si>
  <si>
    <t>6,739</t>
  </si>
  <si>
    <t>(7,216)</t>
  </si>
  <si>
    <t>49</t>
  </si>
  <si>
    <t>9,045</t>
  </si>
  <si>
    <t>10,114</t>
  </si>
  <si>
    <t>Other liabilities</t>
  </si>
  <si>
    <t>498</t>
  </si>
  <si>
    <t>Net cash provided by operating activities</t>
  </si>
  <si>
    <t>Cash flows from investing activities:</t>
  </si>
  <si>
    <t>Purchases of property and equipment</t>
  </si>
  <si>
    <t>( 462,996)</t>
  </si>
  <si>
    <t>Purchases of assets and liabilities in connection with acquisitions</t>
  </si>
  <si>
    <t>Proceeds from sale of property and equipment</t>
  </si>
  <si>
    <t>4,333</t>
  </si>
  <si>
    <t>2,530</t>
  </si>
  <si>
    <t>2,466</t>
  </si>
  <si>
    <t>Investment in unconsolidated affiliate</t>
  </si>
  <si>
    <t>(2,591)</t>
  </si>
  <si>
    <t>Purchase of held to maturity securities</t>
  </si>
  <si>
    <t>(374,866)</t>
  </si>
  <si>
    <t>Proceeds from the sale of held to maturity securities</t>
  </si>
  <si>
    <t>374,866</t>
  </si>
  <si>
    <t>Net cash used in investing activities</t>
  </si>
  <si>
    <t>Cash flows from financing activities:</t>
  </si>
  <si>
    <t>Proceeds from the exercise of stock options</t>
  </si>
  <si>
    <t>71,640</t>
  </si>
  <si>
    <t>Proceeds from the issuance of Employee Stock Purchase Plan shares</t>
  </si>
  <si>
    <t>Payments for employee stock-based tax withholdings</t>
  </si>
  <si>
    <t>(103,451)</t>
  </si>
  <si>
    <t>Debt offering costs</t>
  </si>
  <si>
    <t>(1,212)</t>
  </si>
  <si>
    <t>(2,814)</t>
  </si>
  <si>
    <t>Principal payments on long-term debt</t>
  </si>
  <si>
    <t>(416,759)</t>
  </si>
  <si>
    <t>Payments of finance lease obligations</t>
  </si>
  <si>
    <t>(530)</t>
  </si>
  <si>
    <t>(1,118)</t>
  </si>
  <si>
    <t>(1,065)</t>
  </si>
  <si>
    <t>Net cash (used in) provided by financing activities</t>
  </si>
  <si>
    <t>Effect of foreign currency translation</t>
  </si>
  <si>
    <t>(15,704)</t>
  </si>
  <si>
    <t>4,195</t>
  </si>
  <si>
    <t>2,136</t>
  </si>
  <si>
    <t>Net increase in cash, cash equivalents, and restricted cash</t>
  </si>
  <si>
    <t>335,976</t>
  </si>
  <si>
    <t>570,542</t>
  </si>
  <si>
    <t>291,399</t>
  </si>
  <si>
    <t>Cash, cash equivalents, and restricted cash at beginning of period</t>
  </si>
  <si>
    <t>477,718</t>
  </si>
  <si>
    <t>186,319</t>
  </si>
  <si>
    <t>Cash, cash equivalents, and restricted cash at end of period</t>
  </si>
  <si>
    <t>Supplemental disclosure of cash flow information:</t>
  </si>
  <si>
    <t>Interest paid</t>
  </si>
  <si>
    <t>18,539</t>
  </si>
  <si>
    <t>19,723</t>
  </si>
  <si>
    <t>19,728</t>
  </si>
  <si>
    <t>Income taxes paid, net of refunds</t>
  </si>
  <si>
    <t>263,226</t>
  </si>
  <si>
    <t>178,241</t>
  </si>
  <si>
    <t>83,770</t>
  </si>
  <si>
    <t>Cash</t>
  </si>
  <si>
    <t>Land</t>
  </si>
  <si>
    <t>1,526,446</t>
  </si>
  <si>
    <t>1,428,262</t>
  </si>
  <si>
    <t>Buildings and improvements</t>
  </si>
  <si>
    <t>1,209,331</t>
  </si>
  <si>
    <t>1,126,414</t>
  </si>
  <si>
    <t>Transportation and other equipment</t>
  </si>
  <si>
    <t>429,405</t>
  </si>
  <si>
    <t>326,622</t>
  </si>
  <si>
    <t>Office furniture and equipment</t>
  </si>
  <si>
    <t>84,728</t>
  </si>
  <si>
    <t>79,928</t>
  </si>
  <si>
    <t>Software</t>
  </si>
  <si>
    <t>78,216</t>
  </si>
  <si>
    <t>66,170</t>
  </si>
  <si>
    <t>3,328,126</t>
  </si>
  <si>
    <t>3,027,396</t>
  </si>
  <si>
    <t>Less: Accumulated depreciation and amortization</t>
  </si>
  <si>
    <t>(842,362)</t>
  </si>
  <si>
    <t>(730,772)</t>
  </si>
  <si>
    <t>Finance lease expense:</t>
  </si>
  <si>
    <t>Amortization of right-of-use assets</t>
  </si>
  <si>
    <t>Interest on finance lease liabilities</t>
  </si>
  <si>
    <t>Short-term lease expense</t>
  </si>
  <si>
    <t>Variable lease expense</t>
  </si>
  <si>
    <t>Total lease expense</t>
  </si>
  <si>
    <t>Finance lease right-of-use assets</t>
  </si>
  <si>
    <t>Total lease assets, net</t>
  </si>
  <si>
    <t>Operating lease liabilities - current</t>
  </si>
  <si>
    <t>Finance lease liabilities - current</t>
  </si>
  <si>
    <t>Operating lease liabilities - non-current</t>
  </si>
  <si>
    <t>Finance lease liabilities - non-current</t>
  </si>
  <si>
    <t>Total lease liabilities</t>
  </si>
  <si>
    <t>Cash paid for amounts included in the measurement of lease liabilities</t>
  </si>
  <si>
    <t>Operating cash flows related to operating leases</t>
  </si>
  <si>
    <t>Operating cash flows related to finance leases</t>
  </si>
  <si>
    <t>Financing cash flows related to finance leases</t>
  </si>
  <si>
    <t>Right-of-use assets obtained in exchange for new operating lease liabilities</t>
  </si>
  <si>
    <t>Right-of-use assets obtained in exchange for new finance lease liabilities</t>
  </si>
  <si>
    <t>2026</t>
  </si>
  <si>
    <t>2027</t>
  </si>
  <si>
    <t>Thereafter</t>
  </si>
  <si>
    <t>Total future lease commitments</t>
  </si>
  <si>
    <t>Less: imputed interest</t>
  </si>
  <si>
    <t>Present value of lease liabilities</t>
  </si>
  <si>
    <t>Total future intangible amortization expense</t>
  </si>
  <si>
    <t>Effect of dilutive securities</t>
  </si>
  <si>
    <t>3,732</t>
  </si>
  <si>
    <t>4,038</t>
  </si>
  <si>
    <t>5,454</t>
  </si>
  <si>
    <t>Weighted average common and dilutive potential common shares outstanding</t>
  </si>
  <si>
    <t>0.42</t>
  </si>
  <si>
    <t>Grants of non-vested shares</t>
  </si>
  <si>
    <t>Vested</t>
  </si>
  <si>
    <t>Forfeitures or expirations</t>
  </si>
  <si>
    <t>Grants of options</t>
  </si>
  <si>
    <t>Exercises</t>
  </si>
  <si>
    <t>5.47</t>
  </si>
  <si>
    <t>Grants</t>
  </si>
  <si>
    <t>(49)</t>
  </si>
  <si>
    <t>(22)</t>
  </si>
  <si>
    <t>Effective tax rate</t>
  </si>
  <si>
    <t>2,945,150</t>
  </si>
  <si>
    <t>555,771</t>
  </si>
  <si>
    <t>1,123,986</t>
  </si>
  <si>
    <t>185,511</t>
  </si>
  <si>
    <t>380,928</t>
  </si>
  <si>
    <t>204,275</t>
  </si>
  <si>
    <t>192,667</t>
  </si>
  <si>
    <t>38,557</t>
  </si>
  <si>
    <t>1,247,569</t>
  </si>
  <si>
    <t>127,428</t>
  </si>
  <si>
    <t>Depreciation and amortization, excluding debt costs</t>
  </si>
  <si>
    <t>120,635</t>
  </si>
  <si>
    <t>17,350</t>
  </si>
  <si>
    <t>137,985</t>
  </si>
  <si>
    <t>Capital expenditures, including acquisitions</t>
  </si>
  <si>
    <t>297,632</t>
  </si>
  <si>
    <t>146,420</t>
  </si>
  <si>
    <t>444,052</t>
  </si>
  <si>
    <t>4,615,788</t>
  </si>
  <si>
    <t>693,076</t>
  </si>
  <si>
    <t>270,269</t>
  </si>
  <si>
    <t>131,685</t>
  </si>
  <si>
    <t>2,272,072</t>
  </si>
  <si>
    <t>420,439</t>
  </si>
  <si>
    <t>849,037</t>
  </si>
  <si>
    <t>154,255</t>
  </si>
  <si>
    <t>227,365</t>
  </si>
  <si>
    <t>118,763</t>
  </si>
  <si>
    <t>172,115</t>
  </si>
  <si>
    <t>34,550</t>
  </si>
  <si>
    <t>1,023,555</t>
  </si>
  <si>
    <t>112,871</t>
  </si>
  <si>
    <t>107,765</t>
  </si>
  <si>
    <t>14,206</t>
  </si>
  <si>
    <t>121,971</t>
  </si>
  <si>
    <t>390,706</t>
  </si>
  <si>
    <t>77,290</t>
  </si>
  <si>
    <t>467,996</t>
  </si>
  <si>
    <t>3,900,712</t>
  </si>
  <si>
    <t>661,431</t>
  </si>
  <si>
    <t>270,305</t>
  </si>
  <si>
    <t>85,412</t>
  </si>
  <si>
    <t>1,860,686</t>
  </si>
  <si>
    <t>344,897</t>
  </si>
  <si>
    <t>828,066</t>
  </si>
  <si>
    <t>144,421</t>
  </si>
  <si>
    <t>135,095</t>
  </si>
  <si>
    <t>90,199</t>
  </si>
  <si>
    <t>154,346</t>
  </si>
  <si>
    <t>37,357</t>
  </si>
  <si>
    <t>743,179</t>
  </si>
  <si>
    <t>72,920</t>
  </si>
  <si>
    <t>90,818</t>
  </si>
  <si>
    <t>10,572</t>
  </si>
  <si>
    <t>101,390</t>
  </si>
  <si>
    <t>568,773</t>
  </si>
  <si>
    <t>34,901</t>
  </si>
  <si>
    <t>603,674</t>
  </si>
  <si>
    <t>1,364,210</t>
  </si>
  <si>
    <t>(1,892,049)</t>
  </si>
  <si>
    <t>66,615</t>
  </si>
  <si>
    <t>(516,636)</t>
  </si>
  <si>
    <t>2,841,641</t>
  </si>
  <si>
    <t>356,487</t>
  </si>
  <si>
    <t>3,198,128</t>
  </si>
  <si>
    <t>348,007</t>
  </si>
  <si>
    <t>323,383</t>
  </si>
  <si>
    <t>671,390</t>
  </si>
  <si>
    <t>957,395</t>
  </si>
  <si>
    <t>Investment in held to maturity securities</t>
  </si>
  <si>
    <t>1,406,589</t>
  </si>
  <si>
    <t>702,038</t>
  </si>
  <si>
    <t>123,725</t>
  </si>
  <si>
    <t>39,973</t>
  </si>
  <si>
    <t>6,574</t>
  </si>
  <si>
    <t>26,310</t>
  </si>
  <si>
    <t>3,262,604</t>
  </si>
  <si>
    <t>2,844,339</t>
  </si>
  <si>
    <t>108,139</t>
  </si>
  <si>
    <t>62,702</t>
  </si>
  <si>
    <t>394,289</t>
  </si>
  <si>
    <t>65,806</t>
  </si>
  <si>
    <t>6,737,879</t>
  </si>
  <si>
    <t>440,810</t>
  </si>
  <si>
    <t>26,117</t>
  </si>
  <si>
    <t>4,374</t>
  </si>
  <si>
    <t>21,468</t>
  </si>
  <si>
    <t>492,769</t>
  </si>
  <si>
    <t>89,492</t>
  </si>
  <si>
    <t>69,193</t>
  </si>
  <si>
    <t>88,082</t>
  </si>
  <si>
    <t>10,903</t>
  </si>
  <si>
    <t>750,439</t>
  </si>
  <si>
    <t>Common stock: $0.0001 par value—1,600,000,000 shares authorized; 957,344,162 and 952,163,896 shares issued and outstanding, respectively</t>
  </si>
  <si>
    <t>96</t>
  </si>
  <si>
    <t>938,910</t>
  </si>
  <si>
    <t>838,460</t>
  </si>
  <si>
    <t>(141,006)</t>
  </si>
  <si>
    <t>5,189,440</t>
  </si>
  <si>
    <t>5,987,440</t>
  </si>
  <si>
    <t>3,869,518</t>
  </si>
  <si>
    <t>1,518,029</t>
  </si>
  <si>
    <t>614,498</t>
  </si>
  <si>
    <t>250,422</t>
  </si>
  <si>
    <t>2,382,949</t>
  </si>
  <si>
    <t>1,486,569</t>
  </si>
  <si>
    <t>Other income (expense):</t>
  </si>
  <si>
    <t>Interest income (expense), net</t>
  </si>
  <si>
    <t>65,928</t>
  </si>
  <si>
    <t>( 16,688)</t>
  </si>
  <si>
    <t>Other income (expense), net</t>
  </si>
  <si>
    <t>1,831</t>
  </si>
  <si>
    <t>Total other income (expense)</t>
  </si>
  <si>
    <t>67,759</t>
  </si>
  <si>
    <t>1,554,328</t>
  </si>
  <si>
    <t>316,587</t>
  </si>
  <si>
    <t>1,237,741</t>
  </si>
  <si>
    <t>1.30</t>
  </si>
  <si>
    <t>1.15</t>
  </si>
  <si>
    <t>0.99</t>
  </si>
  <si>
    <t>953,574</t>
  </si>
  <si>
    <t>949,676</t>
  </si>
  <si>
    <t>945,008</t>
  </si>
  <si>
    <t>1.28</t>
  </si>
  <si>
    <t>1.13</t>
  </si>
  <si>
    <t>0.97</t>
  </si>
  <si>
    <t>966,647</t>
  </si>
  <si>
    <t>964,604</t>
  </si>
  <si>
    <t>961,160</t>
  </si>
  <si>
    <t>49,679</t>
  </si>
  <si>
    <t>(4,709)</t>
  </si>
  <si>
    <t>39,673</t>
  </si>
  <si>
    <t>11,098</t>
  </si>
  <si>
    <t>159,684</t>
  </si>
  <si>
    <t>Allowance for credit losses (gains)</t>
  </si>
  <si>
    <t>1,946</t>
  </si>
  <si>
    <t>Equity in losses (earnings) of unconsolidated affiliates</t>
  </si>
  <si>
    <t>5,347</t>
  </si>
  <si>
    <t>(1,846)</t>
  </si>
  <si>
    <t>Deferred income taxes (benefits)</t>
  </si>
  <si>
    <t>9,946</t>
  </si>
  <si>
    <t>(123,207)</t>
  </si>
  <si>
    <t>(10,989)</t>
  </si>
  <si>
    <t>26,549</t>
  </si>
  <si>
    <t>(59,949)</t>
  </si>
  <si>
    <t>350</t>
  </si>
  <si>
    <t>18,010</t>
  </si>
  <si>
    <t>5,896</t>
  </si>
  <si>
    <t>33,193</t>
  </si>
  <si>
    <t>21,866</t>
  </si>
  <si>
    <t>33,919</t>
  </si>
  <si>
    <t>(1,406,588)</t>
  </si>
  <si>
    <t>(2,744)</t>
  </si>
  <si>
    <t>Issuance of principal on revolver facility</t>
  </si>
  <si>
    <t>44,494</t>
  </si>
  <si>
    <t>Principal payments on revolver facility</t>
  </si>
  <si>
    <t>(33,924)</t>
  </si>
  <si>
    <t>(23)</t>
  </si>
  <si>
    <t>Net cash provided by (used in) financing activities</t>
  </si>
  <si>
    <t>34,383</t>
  </si>
  <si>
    <t>(15,704 )</t>
  </si>
  <si>
    <t>Net (decrease) increase in cash, cash equivalents, and restricted cash</t>
  </si>
  <si>
    <t>(426,841)</t>
  </si>
  <si>
    <t>2,614</t>
  </si>
  <si>
    <t>257,514</t>
  </si>
  <si>
    <t>1,812,001</t>
  </si>
  <si>
    <t>1,339,820</t>
  </si>
  <si>
    <t>490,136</t>
  </si>
  <si>
    <t>91,031</t>
  </si>
  <si>
    <t>89,575</t>
  </si>
  <si>
    <t>3,822,563</t>
  </si>
  <si>
    <t>(978,224)</t>
  </si>
  <si>
    <t>2028</t>
  </si>
  <si>
    <t>13,073</t>
  </si>
  <si>
    <t>14,928</t>
  </si>
  <si>
    <t>16,152</t>
  </si>
  <si>
    <t>3,189,648</t>
  </si>
  <si>
    <t>679,870</t>
  </si>
  <si>
    <t>1,292,527</t>
  </si>
  <si>
    <t>225,502</t>
  </si>
  <si>
    <t>326,764</t>
  </si>
  <si>
    <t>287,734</t>
  </si>
  <si>
    <t>202,260</t>
  </si>
  <si>
    <t>48,162</t>
  </si>
  <si>
    <t>1,368,097</t>
  </si>
  <si>
    <t>118,472</t>
  </si>
  <si>
    <t>135,804</t>
  </si>
  <si>
    <t>23,674</t>
  </si>
  <si>
    <t>159,478</t>
  </si>
  <si>
    <t>373,190</t>
  </si>
  <si>
    <t>143,446</t>
  </si>
  <si>
    <t>516,636</t>
  </si>
  <si>
    <t>5,825,064</t>
  </si>
  <si>
    <t>912,815</t>
  </si>
  <si>
    <t>124,020</t>
  </si>
  <si>
    <t>142,578</t>
  </si>
  <si>
    <t>352,254</t>
  </si>
  <si>
    <t>1,472,564</t>
  </si>
  <si>
    <t>(940,079)</t>
  </si>
  <si>
    <t>19,273</t>
  </si>
  <si>
    <t>3,126,102</t>
  </si>
  <si>
    <t>434,900</t>
  </si>
  <si>
    <t>3,561,002</t>
  </si>
  <si>
    <t>338,633</t>
  </si>
  <si>
    <t>337,188</t>
  </si>
  <si>
    <t>675,821</t>
  </si>
  <si>
    <t>59</t>
  </si>
  <si>
    <t>Cash, cash equivalents, and restricted cash $</t>
  </si>
  <si>
    <t>1,514,111</t>
  </si>
  <si>
    <t>1,908,047</t>
  </si>
  <si>
    <t>785,877</t>
  </si>
  <si>
    <t>132,638</t>
  </si>
  <si>
    <t>43,639</t>
  </si>
  <si>
    <t>33,872</t>
  </si>
  <si>
    <t>4,418,184</t>
  </si>
  <si>
    <t>3,175,838</t>
  </si>
  <si>
    <t>116,301</t>
  </si>
  <si>
    <t>74,088</t>
  </si>
  <si>
    <t>513,909</t>
  </si>
  <si>
    <t>129,444</t>
  </si>
  <si>
    <t>8,427,764</t>
  </si>
  <si>
    <t>LIABILITIES, REDEEMABLE NONCONTROLLING INTERESTS AND STOCKHOLDERS’ EQUITY</t>
  </si>
  <si>
    <t>518,148</t>
  </si>
  <si>
    <t>28,121</t>
  </si>
  <si>
    <t>60,994</t>
  </si>
  <si>
    <t>21,304</t>
  </si>
  <si>
    <t>628,567</t>
  </si>
  <si>
    <t>93,653</t>
  </si>
  <si>
    <t>59,560</t>
  </si>
  <si>
    <t>97,429</t>
  </si>
  <si>
    <t>879,209</t>
  </si>
  <si>
    <t>Redeemable non-controlling interest</t>
  </si>
  <si>
    <t>24,544</t>
  </si>
  <si>
    <t>Common stock: $0.0001 par value—1,600,000,000 shares authorized; 962,967,011 and 957,344,162 shares issued and outstanding, respectively</t>
  </si>
  <si>
    <t>1,120,985</t>
  </si>
  <si>
    <t>(142,972)</t>
  </si>
  <si>
    <t>6,545,902</t>
  </si>
  <si>
    <t>7,524,011</t>
  </si>
  <si>
    <t>Total liabilities, redeemable noncontrolling interests and stockholders’ equity</t>
  </si>
  <si>
    <t>4,236,823</t>
  </si>
  <si>
    <t>1,710,084</t>
  </si>
  <si>
    <t>619,487</t>
  </si>
  <si>
    <t>335,229</t>
  </si>
  <si>
    <t>2,664,800</t>
  </si>
  <si>
    <t>1,572,023</t>
  </si>
  <si>
    <t>145,673</t>
  </si>
  <si>
    <t>(3,095)</t>
  </si>
  <si>
    <t>Total other income</t>
  </si>
  <si>
    <t>( 34,043)</t>
  </si>
  <si>
    <t>1,714,601</t>
  </si>
  <si>
    <t>1,362,347</t>
  </si>
  <si>
    <t>Less: Net income (loss) attributable to redeemable noncontrolling interest</t>
  </si>
  <si>
    <t>(673)</t>
  </si>
  <si>
    <t>Net income attributable to Copart, Inc.</t>
  </si>
  <si>
    <t>1,363,020</t>
  </si>
  <si>
    <t>1.42</t>
  </si>
  <si>
    <t>960,739</t>
  </si>
  <si>
    <t>1.40</t>
  </si>
  <si>
    <t>974,798</t>
  </si>
  <si>
    <t>24,260</t>
  </si>
  <si>
    <t>(6,558)</t>
  </si>
  <si>
    <t>12,406</t>
  </si>
  <si>
    <t>190,256</t>
  </si>
  <si>
    <t>Allowance for credit losses</t>
  </si>
  <si>
    <t>3,914</t>
  </si>
  <si>
    <t>Gain on extinguishment of liabilities</t>
  </si>
  <si>
    <t>(4,058)</t>
  </si>
  <si>
    <t>Equity in losses of unconsolidated affiliates</t>
  </si>
  <si>
    <t>2,241</t>
  </si>
  <si>
    <t>35,234</t>
  </si>
  <si>
    <t>(2,386)</t>
  </si>
  <si>
    <t>Deferred income (benefits) taxes</t>
  </si>
  <si>
    <t>(847)</t>
  </si>
  <si>
    <t>(145,385)</t>
  </si>
  <si>
    <t>(9,542)</t>
  </si>
  <si>
    <t>(3,698)</t>
  </si>
  <si>
    <t>(71,067)</t>
  </si>
  <si>
    <t>1,064</t>
  </si>
  <si>
    <t>59,528</t>
  </si>
  <si>
    <t>1,867</t>
  </si>
  <si>
    <t>6,561</t>
  </si>
  <si>
    <t>46,535</t>
  </si>
  <si>
    <t>(510,990)</t>
  </si>
  <si>
    <t>Assets and liabilities acquired in connection with acquisition</t>
  </si>
  <si>
    <t>17,662</t>
  </si>
  <si>
    <t>4,166</t>
  </si>
  <si>
    <t>(4,087,162)</t>
  </si>
  <si>
    <t>3,645,000</t>
  </si>
  <si>
    <t>(8,755)</t>
  </si>
  <si>
    <t>(10,821)</t>
  </si>
  <si>
    <t>(14)</t>
  </si>
  <si>
    <t>4,958</t>
  </si>
  <si>
    <t>556,716</t>
  </si>
  <si>
    <t>3,127</t>
  </si>
  <si>
    <t>285,891</t>
  </si>
  <si>
    <t>2,027,639</t>
  </si>
  <si>
    <t>1,482,891</t>
  </si>
  <si>
    <t>604,977</t>
  </si>
  <si>
    <t>97,576</t>
  </si>
  <si>
    <t>105,001</t>
  </si>
  <si>
    <t>4,318,084</t>
  </si>
  <si>
    <t>(1,142,246)</t>
  </si>
  <si>
    <t>26,222</t>
  </si>
  <si>
    <t>4,371</t>
  </si>
  <si>
    <t>1,359</t>
  </si>
  <si>
    <t>31,966</t>
  </si>
  <si>
    <t>118,733</t>
  </si>
  <si>
    <t>Weighted-Average Remaining Lease Term (In years)</t>
  </si>
  <si>
    <t>Weighted-Average Discount Rate (1)</t>
  </si>
  <si>
    <t>Operating leases</t>
  </si>
  <si>
    <t>25,320</t>
  </si>
  <si>
    <t>37,172</t>
  </si>
  <si>
    <t>2029</t>
  </si>
  <si>
    <t>Total future lease payments receivable</t>
  </si>
  <si>
    <t>14,059</t>
  </si>
  <si>
    <t>Unvested shares at July 31, 2024</t>
  </si>
  <si>
    <t>4,178</t>
  </si>
  <si>
    <t>9.80</t>
  </si>
  <si>
    <t>Outstanding as of July 31, 2024</t>
  </si>
  <si>
    <t>16,310</t>
  </si>
  <si>
    <t>18.60</t>
  </si>
  <si>
    <t>4.34</t>
  </si>
  <si>
    <t>550,115</t>
  </si>
  <si>
    <t>75</t>
  </si>
  <si>
    <t>5,995</t>
  </si>
  <si>
    <t>24.70</t>
  </si>
  <si>
    <t>6.47</t>
  </si>
  <si>
    <t>165,656</t>
  </si>
  <si>
    <t>3,464,735</t>
  </si>
  <si>
    <t>772,088</t>
  </si>
  <si>
    <t>1,440,707</t>
  </si>
  <si>
    <t>269,377</t>
  </si>
  <si>
    <t>313,449</t>
  </si>
  <si>
    <t>306,038</t>
  </si>
  <si>
    <t>282,545</t>
  </si>
  <si>
    <t>52,684</t>
  </si>
  <si>
    <t>1,428,034</t>
  </si>
  <si>
    <t>143,989</t>
  </si>
  <si>
    <t>161,685</t>
  </si>
  <si>
    <t>28,076</t>
  </si>
  <si>
    <t>189,761</t>
  </si>
  <si>
    <t>491,497</t>
  </si>
  <si>
    <t>113,906</t>
  </si>
  <si>
    <t>605,403</t>
  </si>
  <si>
    <t>7,386,103</t>
  </si>
  <si>
    <t>1,041,661</t>
  </si>
  <si>
    <t>390,421</t>
  </si>
  <si>
    <t>123,488</t>
  </si>
  <si>
    <t>1,799,750</t>
  </si>
  <si>
    <t>(587,448)</t>
  </si>
  <si>
    <t>52,107</t>
  </si>
  <si>
    <t>Capital expenditures and acquisitions</t>
  </si>
  <si>
    <t>3,451,558</t>
  </si>
  <si>
    <t>517,104</t>
  </si>
  <si>
    <t>3,968,662</t>
  </si>
  <si>
    <t>403,546</t>
  </si>
  <si>
    <t>274,750</t>
  </si>
  <si>
    <t>678,296</t>
  </si>
  <si>
    <t>2,780,531</t>
  </si>
  <si>
    <t>2,008,539</t>
  </si>
  <si>
    <t>762,811</t>
  </si>
  <si>
    <t>116,145</t>
  </si>
  <si>
    <t>39,661</t>
  </si>
  <si>
    <t>580</t>
  </si>
  <si>
    <t>46,361</t>
  </si>
  <si>
    <t>5,754,628</t>
  </si>
  <si>
    <t>3,598,093</t>
  </si>
  <si>
    <t>99,708</t>
  </si>
  <si>
    <t>62,832</t>
  </si>
  <si>
    <t>517,779</t>
  </si>
  <si>
    <t>57,862</t>
  </si>
  <si>
    <t>10,090,902</t>
  </si>
  <si>
    <t>591,831</t>
  </si>
  <si>
    <t>30,440</t>
  </si>
  <si>
    <t>41,141</t>
  </si>
  <si>
    <t>19,869</t>
  </si>
  <si>
    <t>683,281</t>
  </si>
  <si>
    <t>80,625</t>
  </si>
  <si>
    <t>35,635</t>
  </si>
  <si>
    <t>83,870</t>
  </si>
  <si>
    <t>883,411</t>
  </si>
  <si>
    <t>20,458</t>
  </si>
  <si>
    <t>Common stock: $0.0001 par value—1,600,000,000 shares authorized; 967,478,690 and 962,967,011 shares issued and outstanding, respectively</t>
  </si>
  <si>
    <t>97</t>
  </si>
  <si>
    <t>1,214,150</t>
  </si>
  <si>
    <t>(120,283)</t>
  </si>
  <si>
    <t>8,093,069</t>
  </si>
  <si>
    <t>9,187,033</t>
  </si>
  <si>
    <t>4,646,958</t>
  </si>
  <si>
    <t>Facility operations</t>
  </si>
  <si>
    <t>1,944,318</t>
  </si>
  <si>
    <t>602,997</t>
  </si>
  <si>
    <t>402,929</t>
  </si>
  <si>
    <t>2,950,244</t>
  </si>
  <si>
    <t>1,696,714</t>
  </si>
  <si>
    <t>178,909</t>
  </si>
  <si>
    <t>19,958</t>
  </si>
  <si>
    <t>198,867</t>
  </si>
  <si>
    <t>1,895,581</t>
  </si>
  <si>
    <t>347,218</t>
  </si>
  <si>
    <t>1,548,363</t>
  </si>
  <si>
    <t>(4,086)</t>
  </si>
  <si>
    <t>1,552,449</t>
  </si>
  <si>
    <t>1.61</t>
  </si>
  <si>
    <t>965,306</t>
  </si>
  <si>
    <t>1.59</t>
  </si>
  <si>
    <t>977,563</t>
  </si>
  <si>
    <t>42,759</t>
  </si>
  <si>
    <t>(5,282)</t>
  </si>
  <si>
    <t>14,679</t>
  </si>
  <si>
    <t>217,784</t>
  </si>
  <si>
    <t>354</t>
  </si>
  <si>
    <t>Equity in (income) losses of unconsolidated affiliates</t>
  </si>
  <si>
    <t>(149)</t>
  </si>
  <si>
    <t>38,004</t>
  </si>
  <si>
    <t>(13,726)</t>
  </si>
  <si>
    <t>(13,440)</t>
  </si>
  <si>
    <t>(33,950)</t>
  </si>
  <si>
    <t>( 145,385)</t>
  </si>
  <si>
    <t>16,705</t>
  </si>
  <si>
    <t>4,655</t>
  </si>
  <si>
    <t>7,748</t>
  </si>
  <si>
    <t>478</t>
  </si>
  <si>
    <t>69,599</t>
  </si>
  <si>
    <t>2,159</t>
  </si>
  <si>
    <t>(575)</t>
  </si>
  <si>
    <t>(44,259)</t>
  </si>
  <si>
    <t>(568,990)</t>
  </si>
  <si>
    <t>(1,223)</t>
  </si>
  <si>
    <t>31,831</t>
  </si>
  <si>
    <t>(4,001,918)</t>
  </si>
  <si>
    <t>Proceeds from held to maturity securities</t>
  </si>
  <si>
    <t>3,960,000</t>
  </si>
  <si>
    <t>(7,148)</t>
  </si>
  <si>
    <t>Net cash provided by financing activities</t>
  </si>
  <si>
    <t>2,011</t>
  </si>
  <si>
    <t>Net increase (decrease) in cash, cash equivalents, and restricted cash</t>
  </si>
  <si>
    <t>1,266,420</t>
  </si>
  <si>
    <t>2,019</t>
  </si>
  <si>
    <t>409,003</t>
  </si>
  <si>
    <t>Purchase of property and equipment through settlement of deposit</t>
  </si>
  <si>
    <t>64,050</t>
  </si>
  <si>
    <t>2,394,553</t>
  </si>
  <si>
    <t>1,684,171</t>
  </si>
  <si>
    <t>580,029</t>
  </si>
  <si>
    <t>100,894</t>
  </si>
  <si>
    <t>Internal-use software</t>
  </si>
  <si>
    <t>120,031</t>
  </si>
  <si>
    <t>4,879,678</t>
  </si>
  <si>
    <t>(1,281,585)</t>
  </si>
  <si>
    <t>Operating lease expense</t>
  </si>
  <si>
    <t>28,383</t>
  </si>
  <si>
    <t>101</t>
  </si>
  <si>
    <t>249</t>
  </si>
  <si>
    <t>6,627</t>
  </si>
  <si>
    <t>1,407</t>
  </si>
  <si>
    <t>36,767</t>
  </si>
  <si>
    <t>2,648</t>
  </si>
  <si>
    <t>102,356</t>
  </si>
  <si>
    <t>19,810</t>
  </si>
  <si>
    <t>81,224</t>
  </si>
  <si>
    <t>2,646</t>
  </si>
  <si>
    <t>103,739</t>
  </si>
  <si>
    <t>8.52</t>
  </si>
  <si>
    <t>4.29</t>
  </si>
  <si>
    <t>Finance leases</t>
  </si>
  <si>
    <t>30.35</t>
  </si>
  <si>
    <t>4.48</t>
  </si>
  <si>
    <t>28,026</t>
  </si>
  <si>
    <t>260</t>
  </si>
  <si>
    <t>9,516</t>
  </si>
  <si>
    <t>2,653</t>
  </si>
  <si>
    <t>135</t>
  </si>
  <si>
    <t>22,407</t>
  </si>
  <si>
    <t>18,104</t>
  </si>
  <si>
    <t>16,625</t>
  </si>
  <si>
    <t>13,956</t>
  </si>
  <si>
    <t>2030</t>
  </si>
  <si>
    <t>8,534</t>
  </si>
  <si>
    <t>4,536</t>
  </si>
  <si>
    <t>39,670</t>
  </si>
  <si>
    <t>5,211</t>
  </si>
  <si>
    <t>119,296</t>
  </si>
  <si>
    <t>(2,506)</t>
  </si>
  <si>
    <t>(18,262)</t>
  </si>
  <si>
    <t>2,705</t>
  </si>
  <si>
    <t>101,034</t>
  </si>
  <si>
    <t>5,077</t>
  </si>
  <si>
    <t>5,093</t>
  </si>
  <si>
    <t>4,361</t>
  </si>
  <si>
    <t>3,263</t>
  </si>
  <si>
    <t>17,956</t>
  </si>
  <si>
    <t>(12,784)</t>
  </si>
  <si>
    <t>(12,651)</t>
  </si>
  <si>
    <t>(11,659)</t>
  </si>
  <si>
    <t>(2,066)</t>
  </si>
  <si>
    <t>(1,678)</t>
  </si>
  <si>
    <t>(5,233)</t>
  </si>
  <si>
    <t>(46,071)</t>
  </si>
  <si>
    <t>12,257</t>
  </si>
  <si>
    <t>20.58</t>
  </si>
  <si>
    <t>159</t>
  </si>
  <si>
    <t>(2,226)</t>
  </si>
  <si>
    <t>10.73</t>
  </si>
  <si>
    <t>1.03</t>
  </si>
  <si>
    <t>Unvested shares at July 31, 2025</t>
  </si>
  <si>
    <t>2,089</t>
  </si>
  <si>
    <t>14.30</t>
  </si>
  <si>
    <t>58.34</t>
  </si>
  <si>
    <t>(3,961)</t>
  </si>
  <si>
    <t>10.79</t>
  </si>
  <si>
    <t>(21)</t>
  </si>
  <si>
    <t>4.41</t>
  </si>
  <si>
    <t>Outstanding as of July 31, 2025</t>
  </si>
  <si>
    <t>12,487</t>
  </si>
  <si>
    <t>21.61</t>
  </si>
  <si>
    <t>3.87</t>
  </si>
  <si>
    <t>302,750</t>
  </si>
  <si>
    <t>Exercisable as of July 31, 2025</t>
  </si>
  <si>
    <t>11,069</t>
  </si>
  <si>
    <t>19.21</t>
  </si>
  <si>
    <t>3.42</t>
  </si>
  <si>
    <t>291,821</t>
  </si>
  <si>
    <t>Vested and expected to vest as of July 31, 2025</t>
  </si>
  <si>
    <t>12,481</t>
  </si>
  <si>
    <t>302,636</t>
  </si>
  <si>
    <t>124,108</t>
  </si>
  <si>
    <t>5,302</t>
  </si>
  <si>
    <t>23.64</t>
  </si>
  <si>
    <t>5.28</t>
  </si>
  <si>
    <t>115,169</t>
  </si>
  <si>
    <t>5,994</t>
  </si>
  <si>
    <t>124,085</t>
  </si>
  <si>
    <t>1,778</t>
  </si>
  <si>
    <t>48.93</t>
  </si>
  <si>
    <t>3,855,104</t>
  </si>
  <si>
    <t>791,854</t>
  </si>
  <si>
    <t>1,646,183</t>
  </si>
  <si>
    <t>298,135</t>
  </si>
  <si>
    <t>378,100</t>
  </si>
  <si>
    <t>224,897</t>
  </si>
  <si>
    <t>349,935</t>
  </si>
  <si>
    <t>52,994</t>
  </si>
  <si>
    <t>1,480,886</t>
  </si>
  <si>
    <t>215,828</t>
  </si>
  <si>
    <t>184,026</t>
  </si>
  <si>
    <t>31,823</t>
  </si>
  <si>
    <t>215,849</t>
  </si>
  <si>
    <t>Interest income</t>
  </si>
  <si>
    <t>168,641</t>
  </si>
  <si>
    <t>10,268</t>
  </si>
  <si>
    <t>490,965</t>
  </si>
  <si>
    <t>79,248</t>
  </si>
  <si>
    <t>570,213</t>
  </si>
  <si>
    <t>8,834,063</t>
  </si>
  <si>
    <t>1,256,839</t>
  </si>
  <si>
    <t>390,422</t>
  </si>
  <si>
    <t>127,357</t>
  </si>
  <si>
    <t>140,728</t>
  </si>
  <si>
    <t>4,945</t>
  </si>
  <si>
    <t>64,082</t>
  </si>
  <si>
    <t>1,846</t>
  </si>
  <si>
    <t>3,354,142</t>
  </si>
  <si>
    <t>845,570</t>
  </si>
  <si>
    <t>Accounts receivable, net of allowance for credit losses of $14,636 and $12,945, respectively</t>
  </si>
  <si>
    <t>794,472</t>
  </si>
  <si>
    <t>117,979</t>
  </si>
  <si>
    <t>49,632</t>
  </si>
  <si>
    <t>721</t>
  </si>
  <si>
    <t>54,157</t>
  </si>
  <si>
    <t>5,216,673</t>
  </si>
  <si>
    <t>3,715,922</t>
  </si>
  <si>
    <t>88,066</t>
  </si>
  <si>
    <t>53,943</t>
  </si>
  <si>
    <t>522,703</t>
  </si>
  <si>
    <t>51,729</t>
  </si>
  <si>
    <t>9,649,036</t>
  </si>
  <si>
    <t>598,290</t>
  </si>
  <si>
    <t>33,494</t>
  </si>
  <si>
    <t>37,650</t>
  </si>
  <si>
    <t>15,825</t>
  </si>
  <si>
    <t>685,259</t>
  </si>
  <si>
    <t>89,733</t>
  </si>
  <si>
    <t>5,308</t>
  </si>
  <si>
    <t>77,291</t>
  </si>
  <si>
    <t>857,591</t>
  </si>
  <si>
    <t>Redeemable non controlling interest</t>
  </si>
  <si>
    <t>17,181</t>
  </si>
  <si>
    <t>Preferred stock: $0.0001 par value - 5,000,000 shares authorized; none issued</t>
  </si>
  <si>
    <t>-</t>
  </si>
  <si>
    <t>Common stock: $0.0001 par value - 1,600,000,000 shares authorized; 925,811,482 and 967,478,690 shares issued and outstanding, respectively.</t>
  </si>
  <si>
    <t>93</t>
  </si>
  <si>
    <t>1,207,201</t>
  </si>
  <si>
    <t>(87,207)</t>
  </si>
  <si>
    <t>7,654,177</t>
  </si>
  <si>
    <t>8,774,264</t>
  </si>
  <si>
    <t>1,056,080 $</t>
  </si>
  <si>
    <t>1,034,836 $</t>
  </si>
  <si>
    <t>2,999,976 $</t>
  </si>
  <si>
    <t>3,012,453</t>
  </si>
  <si>
    <t>180,986</t>
  </si>
  <si>
    <t>176,880</t>
  </si>
  <si>
    <t>513,794</t>
  </si>
  <si>
    <t>509,408</t>
  </si>
  <si>
    <t>1,237,066</t>
  </si>
  <si>
    <t>1,211,716</t>
  </si>
  <si>
    <t>3,513,770</t>
  </si>
  <si>
    <t>3,521,861</t>
  </si>
  <si>
    <t>504,190</t>
  </si>
  <si>
    <t>489,735</t>
  </si>
  <si>
    <t>1,459,109</t>
  </si>
  <si>
    <t>1,476,337</t>
  </si>
  <si>
    <t>160,277</t>
  </si>
  <si>
    <t>169,714</t>
  </si>
  <si>
    <t>452,252</t>
  </si>
  <si>
    <t>455,599</t>
  </si>
  <si>
    <t>108,317</t>
  </si>
  <si>
    <t>100,722</t>
  </si>
  <si>
    <t>318,723</t>
  </si>
  <si>
    <t>305,802</t>
  </si>
  <si>
    <t>772,784</t>
  </si>
  <si>
    <t>760,171</t>
  </si>
  <si>
    <t>2,230,084</t>
  </si>
  <si>
    <t>2,237,738</t>
  </si>
  <si>
    <t>464,282</t>
  </si>
  <si>
    <t>451,545</t>
  </si>
  <si>
    <t>1,283,686</t>
  </si>
  <si>
    <t>1,284,123</t>
  </si>
  <si>
    <t>Interest income, net</t>
  </si>
  <si>
    <t>38,813</t>
  </si>
  <si>
    <t>42,776</t>
  </si>
  <si>
    <t>142,305</t>
  </si>
  <si>
    <t>129,070</t>
  </si>
  <si>
    <t>(1,001)</t>
  </si>
  <si>
    <t>8,483</t>
  </si>
  <si>
    <t>4,275</t>
  </si>
  <si>
    <t>3,980</t>
  </si>
  <si>
    <t>37,812</t>
  </si>
  <si>
    <t>51,259</t>
  </si>
  <si>
    <t>146,580</t>
  </si>
  <si>
    <t>133,050</t>
  </si>
  <si>
    <t>502,094</t>
  </si>
  <si>
    <t>502,804</t>
  </si>
  <si>
    <t>1,430,266</t>
  </si>
  <si>
    <t>1,417,173</t>
  </si>
  <si>
    <t>100,701</t>
  </si>
  <si>
    <t>97,466</t>
  </si>
  <si>
    <t>276,696</t>
  </si>
  <si>
    <t>264,118</t>
  </si>
  <si>
    <t>401,393</t>
  </si>
  <si>
    <t>405,338</t>
  </si>
  <si>
    <t>1,153,570</t>
  </si>
  <si>
    <t>1,153,055</t>
  </si>
  <si>
    <t>Less: Net loss attributable to redeemable noncontrolling interest</t>
  </si>
  <si>
    <t>(1,008)</t>
  </si>
  <si>
    <t>(1,271)</t>
  </si>
  <si>
    <t>(3,277)</t>
  </si>
  <si>
    <t>(3,040)</t>
  </si>
  <si>
    <t>402,401 $</t>
  </si>
  <si>
    <t>406,609 $</t>
  </si>
  <si>
    <t>1,156,847 $</t>
  </si>
  <si>
    <t>1,156,095</t>
  </si>
  <si>
    <t>0.43 $</t>
  </si>
  <si>
    <t>0.42 $</t>
  </si>
  <si>
    <t>1.21 $</t>
  </si>
  <si>
    <t>1.20</t>
  </si>
  <si>
    <t>936,293</t>
  </si>
  <si>
    <t>966,234</t>
  </si>
  <si>
    <t>957,280</t>
  </si>
  <si>
    <t>964,702</t>
  </si>
  <si>
    <t>1.20 $</t>
  </si>
  <si>
    <t>1.18</t>
  </si>
  <si>
    <t>942,770</t>
  </si>
  <si>
    <t>978,089</t>
  </si>
  <si>
    <t>965,215</t>
  </si>
  <si>
    <t>977,485</t>
  </si>
  <si>
    <t>403,714</t>
  </si>
  <si>
    <t>(1,504)</t>
  </si>
  <si>
    <t>1,224,683</t>
  </si>
  <si>
    <t>(120,076)</t>
  </si>
  <si>
    <t>8,495,453</t>
  </si>
  <si>
    <t>9,600,157</t>
  </si>
  <si>
    <t>18,954</t>
  </si>
  <si>
    <t>(765)</t>
  </si>
  <si>
    <t>32,785</t>
  </si>
  <si>
    <t>1,242,164</t>
  </si>
  <si>
    <t>(87,291)</t>
  </si>
  <si>
    <t>8,634,076</t>
  </si>
  <si>
    <t>9,789,045</t>
  </si>
  <si>
    <t>18,189</t>
  </si>
  <si>
    <t>362,086</t>
  </si>
  <si>
    <t>(910)</t>
  </si>
  <si>
    <t>(859)</t>
  </si>
  <si>
    <t>6,477</t>
  </si>
  <si>
    <t>11,855</t>
  </si>
  <si>
    <t>7,935</t>
  </si>
  <si>
    <t>12,783</t>
  </si>
  <si>
    <t>12,487 $</t>
  </si>
  <si>
    <t>5,995 $</t>
  </si>
  <si>
    <t>746</t>
  </si>
  <si>
    <t>44.56</t>
  </si>
  <si>
    <t>46.57</t>
  </si>
  <si>
    <t>(1,345)</t>
  </si>
  <si>
    <t>10.53</t>
  </si>
  <si>
    <t>(476)</t>
  </si>
  <si>
    <t>47.95</t>
  </si>
  <si>
    <t>Outstanding as of April 30, 2026</t>
  </si>
  <si>
    <t>11,412 $</t>
  </si>
  <si>
    <t>23.32</t>
  </si>
  <si>
    <t>6,070 $</t>
  </si>
  <si>
    <t>24.97</t>
  </si>
  <si>
    <t>Exercisable as of April 30, 2026</t>
  </si>
  <si>
    <t>10,354 $</t>
  </si>
  <si>
    <t>21.32</t>
  </si>
  <si>
    <t>5,596 $</t>
  </si>
  <si>
    <t>24.06</t>
  </si>
  <si>
    <t>596</t>
  </si>
  <si>
    <t>45.05</t>
  </si>
  <si>
    <t>(208)</t>
  </si>
  <si>
    <t>40.15</t>
  </si>
  <si>
    <t>(245)</t>
  </si>
  <si>
    <t>49.84</t>
  </si>
  <si>
    <t>1,921</t>
  </si>
  <si>
    <t>47.77</t>
  </si>
  <si>
    <t>895,464 $</t>
  </si>
  <si>
    <t>160,616 $</t>
  </si>
  <si>
    <t>898,625 $</t>
  </si>
  <si>
    <t>136,211 $</t>
  </si>
  <si>
    <t>1,034,836</t>
  </si>
  <si>
    <t>107,398</t>
  </si>
  <si>
    <t>73,588</t>
  </si>
  <si>
    <t>107,832</t>
  </si>
  <si>
    <t>69,048</t>
  </si>
  <si>
    <t>1,002,862</t>
  </si>
  <si>
    <t>234,204</t>
  </si>
  <si>
    <t>1,006,457</t>
  </si>
  <si>
    <t>205,259</t>
  </si>
  <si>
    <t>419,714</t>
  </si>
  <si>
    <t>84,476</t>
  </si>
  <si>
    <t>412,895</t>
  </si>
  <si>
    <t>76,840</t>
  </si>
  <si>
    <t>99,024</t>
  </si>
  <si>
    <t>61,253</t>
  </si>
  <si>
    <t>113,853</t>
  </si>
  <si>
    <t>55,861</t>
  </si>
  <si>
    <t>93,679</t>
  </si>
  <si>
    <t>14,638</t>
  </si>
  <si>
    <t>87,244</t>
  </si>
  <si>
    <t>13,478</t>
  </si>
  <si>
    <t>390,445 $</t>
  </si>
  <si>
    <t>73,837 $</t>
  </si>
  <si>
    <t>464,282 $</t>
  </si>
  <si>
    <t>392,465 $</t>
  </si>
  <si>
    <t>59,080 $</t>
  </si>
  <si>
    <t>Depreciation and amortization, excluding debt issuance costs</t>
  </si>
  <si>
    <t>50,259 $</t>
  </si>
  <si>
    <t>8,724 $</t>
  </si>
  <si>
    <t>58,983 $</t>
  </si>
  <si>
    <t>46,461 $</t>
  </si>
  <si>
    <t>7,955 $</t>
  </si>
  <si>
    <t>54,416</t>
  </si>
  <si>
    <t>35,439</t>
  </si>
  <si>
    <t>3,374</t>
  </si>
  <si>
    <t>39,262</t>
  </si>
  <si>
    <t>3,514</t>
  </si>
  <si>
    <t>75,213</t>
  </si>
  <si>
    <t>5,733</t>
  </si>
  <si>
    <t>80,946</t>
  </si>
  <si>
    <t>62,906</t>
  </si>
  <si>
    <t>7,561</t>
  </si>
  <si>
    <t>70,467</t>
  </si>
  <si>
    <t>2,570,465 $</t>
  </si>
  <si>
    <t>429,511 $</t>
  </si>
  <si>
    <t>2,626,745 $</t>
  </si>
  <si>
    <t>385,708 $</t>
  </si>
  <si>
    <t>306,631</t>
  </si>
  <si>
    <t>207,163</t>
  </si>
  <si>
    <t>302,097</t>
  </si>
  <si>
    <t>207,311</t>
  </si>
  <si>
    <t>2,877,096</t>
  </si>
  <si>
    <t>636,674</t>
  </si>
  <si>
    <t>2,928,842</t>
  </si>
  <si>
    <t>593,019</t>
  </si>
  <si>
    <t>1,213,549</t>
  </si>
  <si>
    <t>245,560</t>
  </si>
  <si>
    <t>1,255,336</t>
  </si>
  <si>
    <t>221,001</t>
  </si>
  <si>
    <t>285,356</t>
  </si>
  <si>
    <t>166,896</t>
  </si>
  <si>
    <t>282,946</t>
  </si>
  <si>
    <t>172,653</t>
  </si>
  <si>
    <t>271,301</t>
  </si>
  <si>
    <t>47,422</t>
  </si>
  <si>
    <t>267,142</t>
  </si>
  <si>
    <t>38,660</t>
  </si>
  <si>
    <t>1,106,890 $</t>
  </si>
  <si>
    <t>176,796 $</t>
  </si>
  <si>
    <t>1,283,686 $</t>
  </si>
  <si>
    <t>1,123,418 $</t>
  </si>
  <si>
    <t>160,705 $</t>
  </si>
  <si>
    <t>142,497 $</t>
  </si>
  <si>
    <t>25,915 $</t>
  </si>
  <si>
    <t>168,412 $</t>
  </si>
  <si>
    <t>138,831 $</t>
  </si>
  <si>
    <t>23,411 $</t>
  </si>
  <si>
    <t>162,242</t>
  </si>
  <si>
    <t>132,492</t>
  </si>
  <si>
    <t>9,813</t>
  </si>
  <si>
    <t>122,254</t>
  </si>
  <si>
    <t>6,816</t>
  </si>
  <si>
    <t>205,546</t>
  </si>
  <si>
    <t>57,754</t>
  </si>
  <si>
    <t>263,300</t>
  </si>
  <si>
    <t>428,035</t>
  </si>
  <si>
    <t>54,527</t>
  </si>
  <si>
    <t>482,562</t>
  </si>
  <si>
    <t>85%</t>
  </si>
  <si>
    <t>86%</t>
  </si>
  <si>
    <t>15%</t>
  </si>
  <si>
    <t>14%</t>
  </si>
  <si>
    <t>100%</t>
  </si>
  <si>
    <t>40%</t>
  </si>
  <si>
    <t>41%</t>
  </si>
  <si>
    <t>42%</t>
  </si>
  <si>
    <t>13%</t>
  </si>
  <si>
    <t>9%</t>
  </si>
  <si>
    <t>8%</t>
  </si>
  <si>
    <t>62%</t>
  </si>
  <si>
    <t>63%</t>
  </si>
  <si>
    <t>64%</t>
  </si>
  <si>
    <t>38%</t>
  </si>
  <si>
    <t>37%</t>
  </si>
  <si>
    <t>36%</t>
  </si>
  <si>
    <t>Other income (expense)</t>
  </si>
  <si>
    <t>3%</t>
  </si>
  <si>
    <t>4%</t>
  </si>
  <si>
    <t>7%</t>
  </si>
  <si>
    <t>33%</t>
  </si>
  <si>
    <t>(3,161)</t>
  </si>
  <si>
    <t>(0.4)% $</t>
  </si>
  <si>
    <t>(56,280)</t>
  </si>
  <si>
    <t>(2.1)%</t>
  </si>
  <si>
    <t>160,616</t>
  </si>
  <si>
    <t>24,405</t>
  </si>
  <si>
    <t>17.9%</t>
  </si>
  <si>
    <t>429,511</t>
  </si>
  <si>
    <t>43,803</t>
  </si>
  <si>
    <t>11.4%</t>
  </si>
  <si>
    <t>21,244</t>
  </si>
  <si>
    <t>2.1% $</t>
  </si>
  <si>
    <t>3,012,453 $</t>
  </si>
  <si>
    <t>(12,477)</t>
  </si>
  <si>
    <t>(0.4)%</t>
  </si>
  <si>
    <t>107,398 $</t>
  </si>
  <si>
    <t>107,832 $</t>
  </si>
  <si>
    <t>(434)</t>
  </si>
  <si>
    <t>306,631 $</t>
  </si>
  <si>
    <t>302,097 $</t>
  </si>
  <si>
    <t>4,534</t>
  </si>
  <si>
    <t>1.5%</t>
  </si>
  <si>
    <t>69,048 $</t>
  </si>
  <si>
    <t>4,540</t>
  </si>
  <si>
    <t>6.6% $</t>
  </si>
  <si>
    <t>207,311 $</t>
  </si>
  <si>
    <t>(148)</t>
  </si>
  <si>
    <t>(0.1)%</t>
  </si>
  <si>
    <t>180,986 $</t>
  </si>
  <si>
    <t>176,880 $</t>
  </si>
  <si>
    <t>4,106</t>
  </si>
  <si>
    <t>2.3% $</t>
  </si>
  <si>
    <t>513,794 $</t>
  </si>
  <si>
    <t>509,408 $</t>
  </si>
  <si>
    <t>4,386</t>
  </si>
  <si>
    <t>0.9%</t>
  </si>
  <si>
    <t>(3.3)%</t>
  </si>
  <si>
    <t>99,024 $</t>
  </si>
  <si>
    <t>113,853 $</t>
  </si>
  <si>
    <t>(14,829)</t>
  </si>
  <si>
    <t>(13.0)% $</t>
  </si>
  <si>
    <t>285,356 $</t>
  </si>
  <si>
    <t>282,946 $</t>
  </si>
  <si>
    <t>2,410</t>
  </si>
  <si>
    <t>5,392</t>
  </si>
  <si>
    <t>9.7%</t>
  </si>
  <si>
    <t>(5,757)</t>
  </si>
  <si>
    <t>Total cost of vehicle sales</t>
  </si>
  <si>
    <t>160,277 $</t>
  </si>
  <si>
    <t>169,714 $</t>
  </si>
  <si>
    <t>(9,437)</t>
  </si>
  <si>
    <t>(5.6)% $</t>
  </si>
  <si>
    <t>452,252 $</t>
  </si>
  <si>
    <t>455,599 $</t>
  </si>
  <si>
    <t>(3,347)</t>
  </si>
  <si>
    <t>(0.7)%</t>
  </si>
  <si>
    <t>0.6%</t>
  </si>
  <si>
    <t>10.2%</t>
  </si>
  <si>
    <t>3.3% $</t>
  </si>
  <si>
    <t>5,101,821</t>
  </si>
  <si>
    <t>Accounts receivable, net of allowance for credit losses of $14,916 and $12,945, respectively</t>
  </si>
  <si>
    <t>861,630</t>
  </si>
  <si>
    <t>129,763</t>
  </si>
  <si>
    <t>41,870</t>
  </si>
  <si>
    <t>817</t>
  </si>
  <si>
    <t>40,279</t>
  </si>
  <si>
    <t>6,176,180</t>
  </si>
  <si>
    <t>3,693,890</t>
  </si>
  <si>
    <t>91,454</t>
  </si>
  <si>
    <t>57,292</t>
  </si>
  <si>
    <t>523,473</t>
  </si>
  <si>
    <t>52,673</t>
  </si>
  <si>
    <t>10,594,962</t>
  </si>
  <si>
    <t>549,171</t>
  </si>
  <si>
    <t>31,383</t>
  </si>
  <si>
    <t>16,627</t>
  </si>
  <si>
    <t>16,692</t>
  </si>
  <si>
    <t>613,873</t>
  </si>
  <si>
    <t>87,625</t>
  </si>
  <si>
    <t>6,786</t>
  </si>
  <si>
    <t>79,444</t>
  </si>
  <si>
    <t>787,728</t>
  </si>
  <si>
    <t>Common stock: $0.0001 par value - 1,600,000,000 shares authorized; 963,290,932 and 967,478,690 shares issued and outstanding, respectively.</t>
  </si>
  <si>
    <t>952,051 $</t>
  </si>
  <si>
    <t>991,281 $</t>
  </si>
  <si>
    <t>1,943,896 $</t>
  </si>
  <si>
    <t>1,977,617</t>
  </si>
  <si>
    <t>169,623</t>
  </si>
  <si>
    <t>172,035</t>
  </si>
  <si>
    <t>332,808</t>
  </si>
  <si>
    <t>332,528</t>
  </si>
  <si>
    <t>1,121,674</t>
  </si>
  <si>
    <t>1,163,316</t>
  </si>
  <si>
    <t>2,276,704</t>
  </si>
  <si>
    <t>2,310,145</t>
  </si>
  <si>
    <t>478,430</t>
  </si>
  <si>
    <t>490,056</t>
  </si>
  <si>
    <t>954,919</t>
  </si>
  <si>
    <t>986,602</t>
  </si>
  <si>
    <t>150,432</t>
  </si>
  <si>
    <t>147,707</t>
  </si>
  <si>
    <t>291,975</t>
  </si>
  <si>
    <t>285,885</t>
  </si>
  <si>
    <t>104,102</t>
  </si>
  <si>
    <t>99,342</t>
  </si>
  <si>
    <t>210,406</t>
  </si>
  <si>
    <t>205,080</t>
  </si>
  <si>
    <t>732,964</t>
  </si>
  <si>
    <t>737,105</t>
  </si>
  <si>
    <t>1,457,300</t>
  </si>
  <si>
    <t>1,477,567</t>
  </si>
  <si>
    <t>388,710</t>
  </si>
  <si>
    <t>426,211</t>
  </si>
  <si>
    <t>819,404</t>
  </si>
  <si>
    <t>832,578</t>
  </si>
  <si>
    <t>49,987</t>
  </si>
  <si>
    <t>40,747</t>
  </si>
  <si>
    <t>103,492</t>
  </si>
  <si>
    <t>86,294</t>
  </si>
  <si>
    <t>2,352</t>
  </si>
  <si>
    <t>(3,907)</t>
  </si>
  <si>
    <t>5,276</t>
  </si>
  <si>
    <t>(4,503)</t>
  </si>
  <si>
    <t>52,339</t>
  </si>
  <si>
    <t>36,840</t>
  </si>
  <si>
    <t>108,768</t>
  </si>
  <si>
    <t>81,791</t>
  </si>
  <si>
    <t>441,049</t>
  </si>
  <si>
    <t>463,051</t>
  </si>
  <si>
    <t>928,172</t>
  </si>
  <si>
    <t>914,369</t>
  </si>
  <si>
    <t>91,082</t>
  </si>
  <si>
    <t>76,510</t>
  </si>
  <si>
    <t>175,995</t>
  </si>
  <si>
    <t>166,652</t>
  </si>
  <si>
    <t>349,967</t>
  </si>
  <si>
    <t>386,541</t>
  </si>
  <si>
    <t>752,177</t>
  </si>
  <si>
    <t>747,717</t>
  </si>
  <si>
    <t>(2,269)</t>
  </si>
  <si>
    <t>(1,769)</t>
  </si>
  <si>
    <t>350,732 $</t>
  </si>
  <si>
    <t>387,400 $</t>
  </si>
  <si>
    <t>754,446 $</t>
  </si>
  <si>
    <t>749,486</t>
  </si>
  <si>
    <t>0.36 $</t>
  </si>
  <si>
    <t>0.40 $</t>
  </si>
  <si>
    <t>0.78 $</t>
  </si>
  <si>
    <t>0.78</t>
  </si>
  <si>
    <t>967,212</t>
  </si>
  <si>
    <t>964,746</t>
  </si>
  <si>
    <t>967,431</t>
  </si>
  <si>
    <t>963,961</t>
  </si>
  <si>
    <t>0.77 $</t>
  </si>
  <si>
    <t>0.77</t>
  </si>
  <si>
    <t>975,089</t>
  </si>
  <si>
    <t>977,910</t>
  </si>
  <si>
    <t>976,095</t>
  </si>
  <si>
    <t>977,208</t>
  </si>
  <si>
    <t>7,877</t>
  </si>
  <si>
    <t>13,164</t>
  </si>
  <si>
    <t>8,664</t>
  </si>
  <si>
    <t>13,247</t>
  </si>
  <si>
    <t>819,467 $</t>
  </si>
  <si>
    <t>132,584 $</t>
  </si>
  <si>
    <t>868,130 $</t>
  </si>
  <si>
    <t>123,151 $</t>
  </si>
  <si>
    <t>991,281</t>
  </si>
  <si>
    <t>102,153</t>
  </si>
  <si>
    <t>67,470</t>
  </si>
  <si>
    <t>106,715</t>
  </si>
  <si>
    <t>65,320</t>
  </si>
  <si>
    <t>921,620</t>
  </si>
  <si>
    <t>200,054</t>
  </si>
  <si>
    <t>974,845</t>
  </si>
  <si>
    <t>188,471</t>
  </si>
  <si>
    <t>395,350</t>
  </si>
  <si>
    <t>83,080</t>
  </si>
  <si>
    <t>418,824</t>
  </si>
  <si>
    <t>71,232</t>
  </si>
  <si>
    <t>96,375</t>
  </si>
  <si>
    <t>54,057</t>
  </si>
  <si>
    <t>92,807</t>
  </si>
  <si>
    <t>54,900</t>
  </si>
  <si>
    <t>88,423</t>
  </si>
  <si>
    <t>15,679</t>
  </si>
  <si>
    <t>87,321</t>
  </si>
  <si>
    <t>12,021</t>
  </si>
  <si>
    <t>341,472 $</t>
  </si>
  <si>
    <t>47,238 $</t>
  </si>
  <si>
    <t>388,710 $</t>
  </si>
  <si>
    <t>375,893 $</t>
  </si>
  <si>
    <t>50,318 $</t>
  </si>
  <si>
    <t>46,829 $</t>
  </si>
  <si>
    <t>8,558 $</t>
  </si>
  <si>
    <t>55,387 $</t>
  </si>
  <si>
    <t>46,455 $</t>
  </si>
  <si>
    <t>7,744 $</t>
  </si>
  <si>
    <t>54,199</t>
  </si>
  <si>
    <t>46,958</t>
  </si>
  <si>
    <t>3,029</t>
  </si>
  <si>
    <t>39,149</t>
  </si>
  <si>
    <t>1,598</t>
  </si>
  <si>
    <t>58,875</t>
  </si>
  <si>
    <t>10,738</t>
  </si>
  <si>
    <t>69,613</t>
  </si>
  <si>
    <t>153,212</t>
  </si>
  <si>
    <t>20,868</t>
  </si>
  <si>
    <t>174,080</t>
  </si>
  <si>
    <t>1,675,001 $</t>
  </si>
  <si>
    <t>268,895 $</t>
  </si>
  <si>
    <t>1,728,120 $</t>
  </si>
  <si>
    <t>249,497 $</t>
  </si>
  <si>
    <t>199,233</t>
  </si>
  <si>
    <t>133,575</t>
  </si>
  <si>
    <t>194,265</t>
  </si>
  <si>
    <t>138,263</t>
  </si>
  <si>
    <t>1,874,234</t>
  </si>
  <si>
    <t>402,470</t>
  </si>
  <si>
    <t>1,922,385</t>
  </si>
  <si>
    <t>387,760</t>
  </si>
  <si>
    <t>793,835</t>
  </si>
  <si>
    <t>161,084</t>
  </si>
  <si>
    <t>842,441</t>
  </si>
  <si>
    <t>144,161</t>
  </si>
  <si>
    <t>186,334</t>
  </si>
  <si>
    <t>105,641</t>
  </si>
  <si>
    <t>169,093</t>
  </si>
  <si>
    <t>116,792</t>
  </si>
  <si>
    <t>177,621</t>
  </si>
  <si>
    <t>179,898</t>
  </si>
  <si>
    <t>25,182</t>
  </si>
  <si>
    <t>716,444 $</t>
  </si>
  <si>
    <t>102,960 $</t>
  </si>
  <si>
    <t>819,404 $</t>
  </si>
  <si>
    <t>730,953 $</t>
  </si>
  <si>
    <t>101,625 $</t>
  </si>
  <si>
    <t>92,238 $</t>
  </si>
  <si>
    <t>17,191 $</t>
  </si>
  <si>
    <t>109,429 $</t>
  </si>
  <si>
    <t>92,370 $</t>
  </si>
  <si>
    <t>15,456 $</t>
  </si>
  <si>
    <t>107,826</t>
  </si>
  <si>
    <t>97,053</t>
  </si>
  <si>
    <t>6,439</t>
  </si>
  <si>
    <t>82,992</t>
  </si>
  <si>
    <t>3,302</t>
  </si>
  <si>
    <t>130,333</t>
  </si>
  <si>
    <t>52,021</t>
  </si>
  <si>
    <t>182,354</t>
  </si>
  <si>
    <t>365,129</t>
  </si>
  <si>
    <t>46,966</t>
  </si>
  <si>
    <t>412,095</t>
  </si>
  <si>
    <t>43%</t>
  </si>
  <si>
    <t>12%</t>
  </si>
  <si>
    <t>65%</t>
  </si>
  <si>
    <t>35%</t>
  </si>
  <si>
    <t>5%</t>
  </si>
  <si>
    <t>39%</t>
  </si>
  <si>
    <t>6%</t>
  </si>
  <si>
    <t>32%</t>
  </si>
  <si>
    <t>(48,663)</t>
  </si>
  <si>
    <t>(53,119)</t>
  </si>
  <si>
    <t>(3.1)%</t>
  </si>
  <si>
    <t>132,584</t>
  </si>
  <si>
    <t>9,433</t>
  </si>
  <si>
    <t>7.7%</t>
  </si>
  <si>
    <t>268,895</t>
  </si>
  <si>
    <t>19,398</t>
  </si>
  <si>
    <t>7.8%</t>
  </si>
  <si>
    <t>(39,230)</t>
  </si>
  <si>
    <t>(4.0)% $</t>
  </si>
  <si>
    <t>1,977,617 $</t>
  </si>
  <si>
    <t>(33,721)</t>
  </si>
  <si>
    <t>(1.7)%</t>
  </si>
  <si>
    <t>102,153 $</t>
  </si>
  <si>
    <t>106,715 $</t>
  </si>
  <si>
    <t>(4,562)</t>
  </si>
  <si>
    <t>(4.3)% $</t>
  </si>
  <si>
    <t>199,233 $</t>
  </si>
  <si>
    <t>194,265 $</t>
  </si>
  <si>
    <t>4,968</t>
  </si>
  <si>
    <t>2.6%</t>
  </si>
  <si>
    <t>65,320 $</t>
  </si>
  <si>
    <t>2,150</t>
  </si>
  <si>
    <t>138,263 $</t>
  </si>
  <si>
    <t>(4,688)</t>
  </si>
  <si>
    <t>(3.4)%</t>
  </si>
  <si>
    <t>169,623 $</t>
  </si>
  <si>
    <t>172,035 $</t>
  </si>
  <si>
    <t>(2,412)</t>
  </si>
  <si>
    <t>(1.4)% $</t>
  </si>
  <si>
    <t>332,808 $</t>
  </si>
  <si>
    <t>332,528 $</t>
  </si>
  <si>
    <t>280</t>
  </si>
  <si>
    <t>0.1%</t>
  </si>
  <si>
    <t>96,375 $</t>
  </si>
  <si>
    <t>92,807 $</t>
  </si>
  <si>
    <t>3,568</t>
  </si>
  <si>
    <t>3.8% $</t>
  </si>
  <si>
    <t>186,334 $</t>
  </si>
  <si>
    <t>169,093 $</t>
  </si>
  <si>
    <t>17,241</t>
  </si>
  <si>
    <t>(843)</t>
  </si>
  <si>
    <t>(1.5)%</t>
  </si>
  <si>
    <t>(11,151)</t>
  </si>
  <si>
    <t>(9.5)%</t>
  </si>
  <si>
    <t>150,432 $</t>
  </si>
  <si>
    <t>147,707 $</t>
  </si>
  <si>
    <t>2,725</t>
  </si>
  <si>
    <t>1.8% $</t>
  </si>
  <si>
    <t>291,975 $</t>
  </si>
  <si>
    <t>285,885 $</t>
  </si>
  <si>
    <t>6,090</t>
  </si>
  <si>
    <t>2.1%</t>
  </si>
  <si>
    <t>5,233,590</t>
  </si>
  <si>
    <t>2,780,53 1</t>
  </si>
  <si>
    <t>9,861</t>
  </si>
  <si>
    <t>759,687</t>
  </si>
  <si>
    <t>118,166</t>
  </si>
  <si>
    <t>40,408</t>
  </si>
  <si>
    <t>574</t>
  </si>
  <si>
    <t>39,848</t>
  </si>
  <si>
    <t>6,202,134</t>
  </si>
  <si>
    <t>3,650,424</t>
  </si>
  <si>
    <t>95,594</t>
  </si>
  <si>
    <t>59,615</t>
  </si>
  <si>
    <t>518,756</t>
  </si>
  <si>
    <t>54,491</t>
  </si>
  <si>
    <t>10,581,014</t>
  </si>
  <si>
    <t>607,386</t>
  </si>
  <si>
    <t>30,471</t>
  </si>
  <si>
    <t>125,469</t>
  </si>
  <si>
    <t>17,870</t>
  </si>
  <si>
    <t>781,196</t>
  </si>
  <si>
    <t>85,839</t>
  </si>
  <si>
    <t>12,802</t>
  </si>
  <si>
    <t>82,066</t>
  </si>
  <si>
    <t>961,903</t>
  </si>
  <si>
    <t>Common stock: $0.0001 par value - 1,600,000,000 shares authorized; 967,904,634 and 967,478,690 shares issued and outstanding, respectively.</t>
  </si>
  <si>
    <t>991,845</t>
  </si>
  <si>
    <t>986,336</t>
  </si>
  <si>
    <t>163,185</t>
  </si>
  <si>
    <t>160,493</t>
  </si>
  <si>
    <t>1,155,030</t>
  </si>
  <si>
    <t>1,146,829</t>
  </si>
  <si>
    <t>476,489</t>
  </si>
  <si>
    <t>496,546</t>
  </si>
  <si>
    <t>141,543</t>
  </si>
  <si>
    <t>138,178</t>
  </si>
  <si>
    <t>106,304</t>
  </si>
  <si>
    <t>105,738</t>
  </si>
  <si>
    <t>724,336</t>
  </si>
  <si>
    <t>740,462</t>
  </si>
  <si>
    <t>430,694</t>
  </si>
  <si>
    <t>406,367</t>
  </si>
  <si>
    <t>53,505</t>
  </si>
  <si>
    <t>45,547</t>
  </si>
  <si>
    <t>2,924</t>
  </si>
  <si>
    <t>56,429</t>
  </si>
  <si>
    <t>44,951</t>
  </si>
  <si>
    <t>487,123</t>
  </si>
  <si>
    <t>451,318</t>
  </si>
  <si>
    <t>84,913</t>
  </si>
  <si>
    <t>90,142</t>
  </si>
  <si>
    <t>402,210</t>
  </si>
  <si>
    <t>361,176</t>
  </si>
  <si>
    <t>Less: Net (loss) income attributable to redeemable noncontrolling interest</t>
  </si>
  <si>
    <t>0.38</t>
  </si>
  <si>
    <t>967,650</t>
  </si>
  <si>
    <t>963,176</t>
  </si>
  <si>
    <t>0.41</t>
  </si>
  <si>
    <t>0.37</t>
  </si>
  <si>
    <t>977,100</t>
  </si>
  <si>
    <t>976,506</t>
  </si>
  <si>
    <t>9,450</t>
  </si>
  <si>
    <t>13,330</t>
  </si>
  <si>
    <t>97,080</t>
  </si>
  <si>
    <t>66,105</t>
  </si>
  <si>
    <t>87,549</t>
  </si>
  <si>
    <t>72,944</t>
  </si>
  <si>
    <t>89,959</t>
  </si>
  <si>
    <t>51,584</t>
  </si>
  <si>
    <t>76,286</t>
  </si>
  <si>
    <t>61,892</t>
  </si>
  <si>
    <t>31%</t>
  </si>
  <si>
    <t>855,534</t>
  </si>
  <si>
    <t>859,990</t>
  </si>
  <si>
    <t>(4,456)</t>
  </si>
  <si>
    <t>(0.5)%</t>
  </si>
  <si>
    <t>136,311</t>
  </si>
  <si>
    <t>126,346</t>
  </si>
  <si>
    <t>9,965</t>
  </si>
  <si>
    <t>7.9%</t>
  </si>
  <si>
    <t>5,509</t>
  </si>
  <si>
    <t>9,531</t>
  </si>
  <si>
    <t>10.9%</t>
  </si>
  <si>
    <t>(6,839)</t>
  </si>
  <si>
    <t>(9.4)%</t>
  </si>
  <si>
    <t>2,692</t>
  </si>
  <si>
    <t>1.7%</t>
  </si>
  <si>
    <t>13,673</t>
  </si>
  <si>
    <t>(10,308)</t>
  </si>
  <si>
    <t>(16.7)%</t>
  </si>
  <si>
    <t>3,365</t>
  </si>
  <si>
    <t>2.4%</t>
  </si>
  <si>
    <t>Units</t>
  </si>
  <si>
    <t>Constants</t>
  </si>
  <si>
    <t>Three Statement Model</t>
  </si>
  <si>
    <t>Forecast Period Start</t>
  </si>
  <si>
    <t xml:space="preserve">Forecast Period </t>
  </si>
  <si>
    <t>Forecast Period End</t>
  </si>
  <si>
    <t>Beginning Period</t>
  </si>
  <si>
    <t>Ending Period</t>
  </si>
  <si>
    <t>Forecast Flag</t>
  </si>
  <si>
    <t>Preceeds TTM</t>
  </si>
  <si>
    <t>Period Labels</t>
  </si>
  <si>
    <t>Balance Check</t>
  </si>
  <si>
    <t>Income Statement</t>
  </si>
  <si>
    <t>Interest Expense</t>
  </si>
  <si>
    <t>Cash Flow Statement</t>
  </si>
  <si>
    <t>Dep and amort as % of TI</t>
  </si>
  <si>
    <t>Capex % of TI</t>
  </si>
  <si>
    <t>Balance sheet</t>
  </si>
  <si>
    <t>Long term debt and other liabilities, net of discount</t>
  </si>
  <si>
    <t>Loss on Extinguishble Debt</t>
  </si>
  <si>
    <t>Payments of foreign currency translation</t>
  </si>
  <si>
    <t>0h0</t>
  </si>
  <si>
    <t>Working Capital</t>
  </si>
  <si>
    <t>Receivable Days</t>
  </si>
  <si>
    <t>Payable Days</t>
  </si>
  <si>
    <t>Inventory Days</t>
  </si>
  <si>
    <t>Prepaid Expenses and other % of rev</t>
  </si>
  <si>
    <t>Vehicle pooling costs % of vehicle Sales</t>
  </si>
  <si>
    <t>COPART</t>
  </si>
  <si>
    <t>Forecast</t>
  </si>
  <si>
    <t>Forecast Periods</t>
  </si>
  <si>
    <t>Discounted CashFlow</t>
  </si>
  <si>
    <t>Mid Year Discount Periods</t>
  </si>
  <si>
    <t>EBIT</t>
  </si>
  <si>
    <t>Tax</t>
  </si>
  <si>
    <t>NOPAT</t>
  </si>
  <si>
    <t>Capex</t>
  </si>
  <si>
    <t>Change in Net working capital</t>
  </si>
  <si>
    <t>Tax Rates</t>
  </si>
  <si>
    <t>Unlevered Free Cash Flow</t>
  </si>
  <si>
    <t>Discounting Factor</t>
  </si>
  <si>
    <t>WACC</t>
  </si>
  <si>
    <t>PGR</t>
  </si>
  <si>
    <t>Discounted Free Cash Flow</t>
  </si>
  <si>
    <t>Terminal Value</t>
  </si>
  <si>
    <t>Discounted Terminal Value</t>
  </si>
  <si>
    <t>Dicounted FCF</t>
  </si>
  <si>
    <t>Enterprise Value</t>
  </si>
  <si>
    <t>Equity Value</t>
  </si>
  <si>
    <t>Share Count</t>
  </si>
  <si>
    <t>Intrinsic Value Per Share</t>
  </si>
  <si>
    <t>Ticker</t>
  </si>
  <si>
    <t>Company</t>
  </si>
  <si>
    <t>Market Cap</t>
  </si>
  <si>
    <t>Total Debt</t>
  </si>
  <si>
    <t>Beta</t>
  </si>
  <si>
    <t>Country</t>
  </si>
  <si>
    <t>Industry</t>
  </si>
  <si>
    <t>Corporate Tax Rate</t>
  </si>
  <si>
    <t>CVNA</t>
  </si>
  <si>
    <t>Carvana Co.</t>
  </si>
  <si>
    <t>Auto &amp; Truck Dealerships</t>
  </si>
  <si>
    <t>3153.T</t>
  </si>
  <si>
    <t>Yashima Denki Co., Ltd.</t>
  </si>
  <si>
    <t>Japan</t>
  </si>
  <si>
    <t>Industrial Distribution</t>
  </si>
  <si>
    <t>EBAY</t>
  </si>
  <si>
    <t>eBay Inc.</t>
  </si>
  <si>
    <t>Internet Retail</t>
  </si>
  <si>
    <t>RBA</t>
  </si>
  <si>
    <t>RB Global, Inc.</t>
  </si>
  <si>
    <t>Specialty Business Services</t>
  </si>
  <si>
    <t>PAG</t>
  </si>
  <si>
    <t>Penske Automotive Group, Inc.</t>
  </si>
  <si>
    <t>0881.HK</t>
  </si>
  <si>
    <t>Zhongsheng Group Holdings Limited</t>
  </si>
  <si>
    <t>China</t>
  </si>
  <si>
    <t>AN</t>
  </si>
  <si>
    <t>AutoNation, Inc.</t>
  </si>
  <si>
    <t>AUTO.L</t>
  </si>
  <si>
    <t>Autotrader Group plc</t>
  </si>
  <si>
    <t>Internet Content &amp; Information</t>
  </si>
  <si>
    <t>ABG</t>
  </si>
  <si>
    <t>Asbury Automotive Group, Inc.</t>
  </si>
  <si>
    <t>GPI</t>
  </si>
  <si>
    <t>Group 1 Automotive, Inc.</t>
  </si>
  <si>
    <t>CARG</t>
  </si>
  <si>
    <t>CarGurus, Inc.</t>
  </si>
  <si>
    <t>SIX2.DE</t>
  </si>
  <si>
    <t>Sixt SE</t>
  </si>
  <si>
    <t>Rental &amp; Leasing Services</t>
  </si>
  <si>
    <t>ATHM</t>
  </si>
  <si>
    <t>Autohome Inc.</t>
  </si>
  <si>
    <t>3669.HK</t>
  </si>
  <si>
    <t>China Yongda Automobiles Services Holdings Limited</t>
  </si>
  <si>
    <t>ACVA</t>
  </si>
  <si>
    <t>ACV Auctions Inc.</t>
  </si>
  <si>
    <t>CARS</t>
  </si>
  <si>
    <t>Cars.com Inc.</t>
  </si>
  <si>
    <t>UXIN</t>
  </si>
  <si>
    <t>Uxin Limited</t>
  </si>
  <si>
    <t>PRTS</t>
  </si>
  <si>
    <t>CarParts.com, Inc.</t>
  </si>
  <si>
    <t>Auto Parts</t>
  </si>
  <si>
    <t>LAD</t>
  </si>
  <si>
    <t>CAR</t>
  </si>
  <si>
    <t>SAH</t>
  </si>
  <si>
    <t>Unlevered Beta</t>
  </si>
  <si>
    <t>Debt to Equity</t>
  </si>
  <si>
    <t>Risk Free Rate</t>
  </si>
  <si>
    <t>Levered Beta</t>
  </si>
  <si>
    <t>Enterprise Debt</t>
  </si>
  <si>
    <t>Tax Rate</t>
  </si>
  <si>
    <t>Unlevered Average Beta</t>
  </si>
  <si>
    <t>Share Price</t>
  </si>
  <si>
    <t>Valuation %</t>
  </si>
  <si>
    <t>Current Price</t>
  </si>
  <si>
    <t>Beta Array</t>
  </si>
  <si>
    <t>Sonic Automotive</t>
  </si>
  <si>
    <t>Avis Budget Group</t>
  </si>
  <si>
    <t>Lithia Motors</t>
  </si>
  <si>
    <t>Ten Year Bond Yield</t>
  </si>
  <si>
    <t>Damodaran's US Default Spread</t>
  </si>
  <si>
    <t>Country Risk Premium</t>
  </si>
  <si>
    <t xml:space="preserve">Lambda </t>
  </si>
  <si>
    <t>Mature Market ERP</t>
  </si>
  <si>
    <t>Total ERP</t>
  </si>
  <si>
    <t>EBIT/Interest</t>
  </si>
  <si>
    <t>&lt;0.2</t>
  </si>
  <si>
    <t>0.20 - 0.64</t>
  </si>
  <si>
    <t>0.65 - 0.79</t>
  </si>
  <si>
    <t>0.80 - 1.24</t>
  </si>
  <si>
    <t>1.25 - 1.49</t>
  </si>
  <si>
    <t>1.50 - 1.74</t>
  </si>
  <si>
    <t>1.75 - 1.99</t>
  </si>
  <si>
    <t>2.00 - 2.24</t>
  </si>
  <si>
    <t>2.25 - 2.49</t>
  </si>
  <si>
    <t>2.50 - 2.99</t>
  </si>
  <si>
    <t>3.00 - 4.24</t>
  </si>
  <si>
    <t>4.25 - 5.49</t>
  </si>
  <si>
    <t>5.50 - 6.49</t>
  </si>
  <si>
    <t>6.50 - 8.50</t>
  </si>
  <si>
    <t>&gt;8.5</t>
  </si>
  <si>
    <t>Spread</t>
  </si>
  <si>
    <t>Interest coverage</t>
  </si>
  <si>
    <t>Company Default Spread</t>
  </si>
  <si>
    <t>Cost of Debt</t>
  </si>
  <si>
    <t>Cost of Equity</t>
  </si>
  <si>
    <t>Units Sold</t>
  </si>
  <si>
    <t>Revenue Per Vehicle</t>
  </si>
  <si>
    <t>Historical CAGR</t>
  </si>
  <si>
    <t>Forecasted CAGR</t>
  </si>
  <si>
    <t>Market Size</t>
  </si>
  <si>
    <t>Market Growth CAGR (2025-2030)</t>
  </si>
  <si>
    <t>Implied market shares</t>
  </si>
  <si>
    <t>Units sold Growth</t>
  </si>
  <si>
    <t>US % of Total Service Rev</t>
  </si>
  <si>
    <t>International % of Total Service Rev</t>
  </si>
  <si>
    <t>WACC Calculations</t>
  </si>
  <si>
    <t>Revenue Build</t>
  </si>
  <si>
    <t>Debt + leases</t>
  </si>
  <si>
    <t xml:space="preserve">Cash, cash equivalents, and restricted cash </t>
  </si>
  <si>
    <t>Redeeemable Non-Controlling Interest</t>
  </si>
  <si>
    <t>Total Loss Frequency</t>
  </si>
  <si>
    <t>Total Vehicles on Road - US</t>
  </si>
  <si>
    <t xml:space="preserve">Scaler </t>
  </si>
  <si>
    <t>Growth Rate</t>
  </si>
  <si>
    <t>Operating Margin</t>
  </si>
  <si>
    <t>Pre tax Margin</t>
  </si>
  <si>
    <t>Net Margin</t>
  </si>
  <si>
    <t>SCALER</t>
  </si>
  <si>
    <t>Scaler</t>
  </si>
  <si>
    <t>Intrinsic Values</t>
  </si>
  <si>
    <t>% growth</t>
  </si>
  <si>
    <t>NOPAT growth</t>
  </si>
  <si>
    <t>Capex Growth</t>
  </si>
  <si>
    <t>NOPAT CAGR</t>
  </si>
  <si>
    <t>Capex CAGR</t>
  </si>
  <si>
    <t>Damodaran's Unlevered Beta (Business and Consumer Services)</t>
  </si>
  <si>
    <t>Current Beta</t>
  </si>
  <si>
    <t>useDamodaranBeta - True, False</t>
  </si>
  <si>
    <t>Unlevered FCF CAGR</t>
  </si>
  <si>
    <t>ROIC</t>
  </si>
  <si>
    <t>Invested Capital</t>
  </si>
  <si>
    <t>Capex / Units Sold</t>
  </si>
  <si>
    <t>PPE and Depreciation</t>
  </si>
  <si>
    <t>Beginning PPE</t>
  </si>
  <si>
    <t xml:space="preserve">Depreciation </t>
  </si>
  <si>
    <t>Ending PPE</t>
  </si>
  <si>
    <t>Existing PPE Depreciation Period</t>
  </si>
  <si>
    <t>Capex average Depreciation Period</t>
  </si>
  <si>
    <t>Existing PPE Depreciation</t>
  </si>
  <si>
    <t>Total Depreciation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</si>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</sst>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%;\(0.00%\);\-\-"/>
    <numFmt numFmtId="165" formatCode="#,##0.00;\(#,##0.00\);\-\-"/>
    <numFmt numFmtId="166" formatCode="#,##0.00000000000_);\(#,##0.00000000000\)"/>
    <numFmt numFmtId="167" formatCode="#,###.00;\(#,###.00\);\-\-"/>
    <numFmt numFmtId="168" formatCode="#,##0.00;;\-\-"/>
    <numFmt numFmtId="169" formatCode="0.0000"/>
    <numFmt numFmtId="170" formatCode="0.00%;[Red]\(0.00%\)"/>
    <numFmt numFmtId="171" formatCode="##,##0.00;\(##,##0.00\);\-\-"/>
    <numFmt numFmtId="172" formatCode="0.00%;[Red]\(0.00%\);\-\-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2"/>
      <color rgb="FF0070C0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9">
    <xf numFmtId="0" fontId="0" fillId="0" borderId="0" xfId="0" applyNumberFormat="1"/>
    <xf numFmtId="0" fontId="0" fillId="0" borderId="0" xfId="0"/>
    <xf numFmtId="0" fontId="5" fillId="2" borderId="0" xfId="0" applyFont="1" applyFill="1"/>
    <xf numFmtId="15" fontId="5" fillId="2" borderId="0" xfId="0" applyNumberFormat="1" applyFont="1" applyFill="1"/>
    <xf numFmtId="15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0" borderId="0" xfId="0" applyFont="1"/>
    <xf numFmtId="10" fontId="0" fillId="0" borderId="0" xfId="1" applyNumberFormat="1" applyFont="1"/>
    <xf numFmtId="10" fontId="7" fillId="3" borderId="0" xfId="1" applyNumberFormat="1" applyFont="1" applyFill="1"/>
    <xf numFmtId="165" fontId="8" fillId="0" borderId="0" xfId="0" applyNumberFormat="1" applyFont="1"/>
    <xf numFmtId="0" fontId="7" fillId="3" borderId="0" xfId="0" applyFont="1" applyFill="1"/>
    <xf numFmtId="165" fontId="6" fillId="0" borderId="0" xfId="0" applyNumberFormat="1" applyFont="1"/>
    <xf numFmtId="39" fontId="6" fillId="0" borderId="0" xfId="0" applyNumberFormat="1" applyFont="1"/>
    <xf numFmtId="165" fontId="6" fillId="0" borderId="2" xfId="0" applyNumberFormat="1" applyFont="1" applyBorder="1"/>
    <xf numFmtId="0" fontId="6" fillId="0" borderId="0" xfId="0" applyFont="1" applyBorder="1"/>
    <xf numFmtId="165" fontId="6" fillId="0" borderId="0" xfId="0" applyNumberFormat="1" applyFont="1" applyBorder="1"/>
    <xf numFmtId="167" fontId="8" fillId="0" borderId="0" xfId="0" applyNumberFormat="1" applyFont="1"/>
    <xf numFmtId="167" fontId="11" fillId="0" borderId="0" xfId="0" applyNumberFormat="1" applyFont="1"/>
    <xf numFmtId="167" fontId="0" fillId="0" borderId="0" xfId="0" applyNumberFormat="1"/>
    <xf numFmtId="167" fontId="5" fillId="2" borderId="0" xfId="0" applyNumberFormat="1" applyFont="1" applyFill="1"/>
    <xf numFmtId="167" fontId="10" fillId="0" borderId="0" xfId="0" applyNumberFormat="1" applyFont="1"/>
    <xf numFmtId="167" fontId="8" fillId="0" borderId="0" xfId="0" applyNumberFormat="1" applyFont="1" applyBorder="1"/>
    <xf numFmtId="167" fontId="12" fillId="0" borderId="0" xfId="0" applyNumberFormat="1" applyFont="1"/>
    <xf numFmtId="167" fontId="7" fillId="3" borderId="0" xfId="0" applyNumberFormat="1" applyFont="1" applyFill="1"/>
    <xf numFmtId="167" fontId="13" fillId="0" borderId="0" xfId="0" applyNumberFormat="1" applyFont="1"/>
    <xf numFmtId="0" fontId="13" fillId="3" borderId="0" xfId="0" applyFont="1" applyFill="1"/>
    <xf numFmtId="0" fontId="10" fillId="0" borderId="0" xfId="0" applyNumberFormat="1" applyFont="1"/>
    <xf numFmtId="0" fontId="3" fillId="0" borderId="0" xfId="0" applyFont="1"/>
    <xf numFmtId="164" fontId="3" fillId="0" borderId="0" xfId="1" applyNumberFormat="1" applyFont="1"/>
    <xf numFmtId="164" fontId="3" fillId="0" borderId="0" xfId="0" applyNumberFormat="1" applyFont="1"/>
    <xf numFmtId="164" fontId="6" fillId="0" borderId="0" xfId="1" applyNumberFormat="1" applyFont="1"/>
    <xf numFmtId="167" fontId="3" fillId="0" borderId="0" xfId="0" applyNumberFormat="1" applyFont="1"/>
    <xf numFmtId="167" fontId="6" fillId="0" borderId="0" xfId="0" applyNumberFormat="1" applyFont="1"/>
    <xf numFmtId="165" fontId="3" fillId="0" borderId="0" xfId="0" applyNumberFormat="1" applyFont="1"/>
    <xf numFmtId="39" fontId="3" fillId="0" borderId="0" xfId="0" applyNumberFormat="1" applyFont="1"/>
    <xf numFmtId="0" fontId="3" fillId="0" borderId="0" xfId="0" applyFont="1" applyBorder="1"/>
    <xf numFmtId="39" fontId="3" fillId="0" borderId="0" xfId="0" applyNumberFormat="1" applyFont="1" applyBorder="1"/>
    <xf numFmtId="166" fontId="3" fillId="0" borderId="0" xfId="0" applyNumberFormat="1" applyFont="1"/>
    <xf numFmtId="0" fontId="6" fillId="0" borderId="0" xfId="0" applyNumberFormat="1" applyFont="1"/>
    <xf numFmtId="168" fontId="5" fillId="2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68" fontId="13" fillId="3" borderId="0" xfId="0" applyNumberFormat="1" applyFont="1" applyFill="1" applyAlignment="1">
      <alignment horizontal="center"/>
    </xf>
    <xf numFmtId="167" fontId="0" fillId="0" borderId="0" xfId="0" applyNumberFormat="1" applyFont="1"/>
    <xf numFmtId="0" fontId="0" fillId="0" borderId="0" xfId="0" applyNumberFormat="1" applyFont="1"/>
    <xf numFmtId="169" fontId="15" fillId="0" borderId="0" xfId="0" applyNumberFormat="1" applyFont="1"/>
    <xf numFmtId="10" fontId="15" fillId="0" borderId="0" xfId="1" applyNumberFormat="1" applyFont="1"/>
    <xf numFmtId="0" fontId="14" fillId="0" borderId="0" xfId="0" applyFont="1" applyBorder="1" applyAlignment="1">
      <alignment horizontal="left" vertical="top"/>
    </xf>
    <xf numFmtId="0" fontId="16" fillId="0" borderId="0" xfId="0" applyNumberFormat="1" applyFont="1" applyFill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169" fontId="0" fillId="0" borderId="0" xfId="0" applyNumberFormat="1"/>
    <xf numFmtId="0" fontId="0" fillId="0" borderId="3" xfId="0" applyNumberFormat="1" applyBorder="1"/>
    <xf numFmtId="0" fontId="0" fillId="0" borderId="0" xfId="0" applyNumberFormat="1" applyBorder="1"/>
    <xf numFmtId="0" fontId="15" fillId="0" borderId="0" xfId="0" applyNumberFormat="1" applyFont="1"/>
    <xf numFmtId="0" fontId="10" fillId="0" borderId="0" xfId="0" applyNumberFormat="1" applyFont="1" applyFill="1" applyBorder="1"/>
    <xf numFmtId="0" fontId="0" fillId="0" borderId="0" xfId="0" applyNumberFormat="1" applyFont="1" applyFill="1" applyBorder="1"/>
    <xf numFmtId="10" fontId="0" fillId="0" borderId="0" xfId="0" applyNumberFormat="1"/>
    <xf numFmtId="10" fontId="15" fillId="0" borderId="0" xfId="0" applyNumberFormat="1" applyFont="1"/>
    <xf numFmtId="10" fontId="0" fillId="0" borderId="3" xfId="0" applyNumberFormat="1" applyBorder="1"/>
    <xf numFmtId="10" fontId="10" fillId="0" borderId="0" xfId="1" applyNumberFormat="1" applyFont="1"/>
    <xf numFmtId="169" fontId="10" fillId="0" borderId="0" xfId="0" applyNumberFormat="1" applyFont="1" applyFill="1"/>
    <xf numFmtId="0" fontId="0" fillId="0" borderId="0" xfId="0" applyBorder="1" applyAlignment="1">
      <alignment horizontal="center"/>
    </xf>
    <xf numFmtId="0" fontId="0" fillId="0" borderId="0" xfId="0" applyNumberFormat="1" applyFill="1" applyBorder="1"/>
    <xf numFmtId="167" fontId="3" fillId="0" borderId="3" xfId="0" applyNumberFormat="1" applyFont="1" applyBorder="1"/>
    <xf numFmtId="10" fontId="8" fillId="0" borderId="0" xfId="0" applyNumberFormat="1" applyFont="1" applyFill="1" applyBorder="1" applyAlignment="1">
      <alignment horizontal="center"/>
    </xf>
    <xf numFmtId="9" fontId="8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/>
    <xf numFmtId="167" fontId="10" fillId="4" borderId="0" xfId="0" applyNumberFormat="1" applyFont="1" applyFill="1"/>
    <xf numFmtId="167" fontId="8" fillId="0" borderId="1" xfId="0" applyNumberFormat="1" applyFont="1" applyBorder="1"/>
    <xf numFmtId="10" fontId="3" fillId="0" borderId="0" xfId="0" applyNumberFormat="1" applyFont="1"/>
    <xf numFmtId="0" fontId="3" fillId="0" borderId="0" xfId="0" applyFont="1" applyFill="1"/>
    <xf numFmtId="164" fontId="3" fillId="0" borderId="0" xfId="1" applyNumberFormat="1" applyFont="1" applyFill="1"/>
    <xf numFmtId="164" fontId="3" fillId="0" borderId="0" xfId="0" applyNumberFormat="1" applyFont="1" applyFill="1"/>
    <xf numFmtId="164" fontId="8" fillId="0" borderId="1" xfId="0" applyNumberFormat="1" applyFont="1" applyBorder="1"/>
    <xf numFmtId="164" fontId="8" fillId="0" borderId="1" xfId="0" applyNumberFormat="1" applyFont="1" applyFill="1" applyBorder="1"/>
    <xf numFmtId="10" fontId="8" fillId="0" borderId="1" xfId="0" applyNumberFormat="1" applyFont="1" applyBorder="1"/>
    <xf numFmtId="164" fontId="8" fillId="0" borderId="1" xfId="1" applyNumberFormat="1" applyFont="1" applyBorder="1"/>
    <xf numFmtId="0" fontId="6" fillId="4" borderId="0" xfId="0" applyFont="1" applyFill="1"/>
    <xf numFmtId="164" fontId="6" fillId="4" borderId="0" xfId="1" applyNumberFormat="1" applyFont="1" applyFill="1"/>
    <xf numFmtId="167" fontId="20" fillId="0" borderId="0" xfId="0" applyNumberFormat="1" applyFont="1"/>
    <xf numFmtId="167" fontId="19" fillId="0" borderId="0" xfId="0" applyNumberFormat="1" applyFont="1"/>
    <xf numFmtId="164" fontId="20" fillId="0" borderId="0" xfId="1" applyNumberFormat="1" applyFont="1"/>
    <xf numFmtId="0" fontId="19" fillId="0" borderId="0" xfId="0" applyNumberFormat="1" applyFont="1"/>
    <xf numFmtId="10" fontId="10" fillId="4" borderId="0" xfId="1" applyNumberFormat="1" applyFont="1" applyFill="1"/>
    <xf numFmtId="4" fontId="7" fillId="3" borderId="0" xfId="1" applyNumberFormat="1" applyFont="1" applyFill="1"/>
    <xf numFmtId="4" fontId="9" fillId="3" borderId="0" xfId="1" applyNumberFormat="1" applyFont="1" applyFill="1"/>
    <xf numFmtId="0" fontId="5" fillId="5" borderId="0" xfId="0" applyFont="1" applyFill="1" applyAlignment="1">
      <alignment horizontal="center"/>
    </xf>
    <xf numFmtId="2" fontId="0" fillId="0" borderId="0" xfId="0" applyNumberFormat="1"/>
    <xf numFmtId="167" fontId="0" fillId="2" borderId="0" xfId="0" applyNumberFormat="1" applyFill="1"/>
    <xf numFmtId="0" fontId="0" fillId="2" borderId="0" xfId="0" applyNumberFormat="1" applyFill="1"/>
    <xf numFmtId="0" fontId="21" fillId="2" borderId="0" xfId="0" applyNumberFormat="1" applyFont="1" applyFill="1"/>
    <xf numFmtId="10" fontId="21" fillId="2" borderId="0" xfId="1" applyNumberFormat="1" applyFont="1" applyFill="1"/>
    <xf numFmtId="0" fontId="22" fillId="2" borderId="0" xfId="0" applyNumberFormat="1" applyFont="1" applyFill="1"/>
    <xf numFmtId="10" fontId="22" fillId="2" borderId="0" xfId="1" applyNumberFormat="1" applyFont="1" applyFill="1"/>
    <xf numFmtId="0" fontId="22" fillId="2" borderId="0" xfId="0" applyNumberFormat="1" applyFont="1" applyFill="1" applyAlignment="1">
      <alignment horizontal="right"/>
    </xf>
    <xf numFmtId="10" fontId="19" fillId="0" borderId="1" xfId="0" applyNumberFormat="1" applyFont="1" applyBorder="1"/>
    <xf numFmtId="10" fontId="15" fillId="0" borderId="1" xfId="0" applyNumberFormat="1" applyFont="1" applyBorder="1"/>
    <xf numFmtId="0" fontId="2" fillId="0" borderId="0" xfId="0" applyFont="1"/>
    <xf numFmtId="10" fontId="8" fillId="0" borderId="0" xfId="0" applyNumberFormat="1" applyFont="1"/>
    <xf numFmtId="10" fontId="7" fillId="3" borderId="1" xfId="1" applyNumberFormat="1" applyFont="1" applyFill="1" applyBorder="1"/>
    <xf numFmtId="10" fontId="8" fillId="0" borderId="0" xfId="1" applyNumberFormat="1" applyFont="1" applyBorder="1"/>
    <xf numFmtId="0" fontId="8" fillId="0" borderId="0" xfId="0" applyFont="1"/>
    <xf numFmtId="167" fontId="2" fillId="0" borderId="0" xfId="0" applyNumberFormat="1" applyFont="1"/>
    <xf numFmtId="10" fontId="3" fillId="0" borderId="0" xfId="1" applyNumberFormat="1" applyFont="1"/>
    <xf numFmtId="170" fontId="10" fillId="0" borderId="0" xfId="0" applyNumberFormat="1" applyFont="1"/>
    <xf numFmtId="170" fontId="10" fillId="0" borderId="0" xfId="1" applyNumberFormat="1" applyFont="1"/>
    <xf numFmtId="170" fontId="10" fillId="4" borderId="0" xfId="0" applyNumberFormat="1" applyFont="1" applyFill="1"/>
    <xf numFmtId="171" fontId="11" fillId="0" borderId="0" xfId="0" applyNumberFormat="1" applyFont="1"/>
    <xf numFmtId="170" fontId="0" fillId="0" borderId="0" xfId="0" applyNumberFormat="1" applyFont="1"/>
    <xf numFmtId="172" fontId="10" fillId="0" borderId="0" xfId="0" applyNumberFormat="1" applyFont="1"/>
    <xf numFmtId="172" fontId="4" fillId="0" borderId="0" xfId="1" applyNumberFormat="1" applyFont="1"/>
    <xf numFmtId="172" fontId="10" fillId="0" borderId="0" xfId="1" applyNumberFormat="1" applyFont="1"/>
    <xf numFmtId="0" fontId="1" fillId="0" borderId="0" xfId="0" applyFont="1"/>
    <xf numFmtId="2" fontId="0" fillId="0" borderId="1" xfId="0" applyNumberFormat="1" applyBorder="1"/>
    <xf numFmtId="0" fontId="10" fillId="0" borderId="3" xfId="0" applyNumberFormat="1" applyFont="1" applyBorder="1"/>
    <xf numFmtId="167" fontId="10" fillId="0" borderId="3" xfId="0" applyNumberFormat="1" applyFont="1" applyBorder="1"/>
    <xf numFmtId="0" fontId="23" fillId="0" borderId="0" xfId="0" applyNumberFormat="1" applyFont="1"/>
    <xf numFmtId="165" fontId="20" fillId="0" borderId="0" xfId="0" applyNumberFormat="1" applyFont="1"/>
    <xf numFmtId="2" fontId="15" fillId="0" borderId="1" xfId="0" applyNumberFormat="1" applyFont="1" applyBorder="1"/>
  </cellXfs>
  <cellStyles count="2">
    <cellStyle name="Normal" xfId="0" builtinId="0"/>
    <cellStyle name="Percent" xfId="1" builtinId="5"/>
  </cellStyles>
  <dxfs count="19">
    <dxf>
      <font>
        <color rgb="FFFF0000"/>
      </font>
    </dxf>
    <dxf>
      <font>
        <color theme="1"/>
      </font>
      <fill>
        <patternFill>
          <bgColor theme="0" tint="-0.14996795556505021"/>
        </patternFill>
      </fill>
    </dxf>
    <dxf>
      <font>
        <color rgb="FF00B0F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0" tint="-0.14996795556505021"/>
        </patternFill>
      </fill>
    </dxf>
    <dxf>
      <font>
        <color rgb="FF00B0F0"/>
      </font>
    </dxf>
    <dxf>
      <font>
        <color rgb="FFFF0000"/>
      </font>
    </dxf>
    <dxf>
      <font>
        <color theme="1"/>
      </font>
      <fill>
        <patternFill>
          <bgColor theme="0" tint="-0.14996795556505021"/>
        </patternFill>
      </fill>
    </dxf>
    <dxf>
      <font>
        <color rgb="FF00B0F0"/>
      </font>
    </dxf>
    <dxf>
      <font>
        <color rgb="FFFF0000"/>
      </font>
    </dxf>
    <dxf>
      <font>
        <color theme="1"/>
      </font>
      <fill>
        <patternFill>
          <bgColor theme="0" tint="-0.14996795556505021"/>
        </patternFill>
      </fill>
    </dxf>
    <dxf>
      <font>
        <color rgb="FF00B0F0"/>
      </font>
    </dxf>
    <dxf>
      <font>
        <color rgb="FFFF0000"/>
      </font>
    </dxf>
    <dxf>
      <font>
        <color theme="1"/>
      </font>
      <fill>
        <patternFill>
          <bgColor theme="0" tint="-0.14996795556505021"/>
        </patternFill>
      </fill>
    </dxf>
    <dxf>
      <font>
        <color rgb="FF00B0F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2060"/>
  </sheetPr>
  <dimension ref="A2:AH203"/>
  <sheetViews>
    <sheetView zoomScale="80" zoomScaleNormal="80" workbookViewId="0">
      <pane xSplit="8" ySplit="12" topLeftCell="K78" activePane="bottomRight" state="frozen"/>
      <selection pane="topRight" activeCell="I1" sqref="I1"/>
      <selection pane="bottomLeft" activeCell="A13" sqref="A13"/>
      <selection pane="bottomRight" activeCell="W92" sqref="W92"/>
    </sheetView>
  </sheetViews>
  <sheetFormatPr defaultColWidth="0" defaultRowHeight="15" x14ac:dyDescent="0.25"/>
  <cols>
    <col min="1" max="3" width="1.5" style="28" customWidth="1"/>
    <col min="4" max="4" width="27.875" style="28" customWidth="1"/>
    <col min="5" max="6" width="13" style="28" bestFit="1" customWidth="1"/>
    <col min="7" max="7" width="13.125" style="28" bestFit="1" customWidth="1"/>
    <col min="8" max="8" width="11.875" style="28" bestFit="1" customWidth="1"/>
    <col min="9" max="23" width="12.125" style="28" bestFit="1" customWidth="1"/>
    <col min="24" max="31" width="9" style="28" hidden="1" customWidth="1"/>
    <col min="32" max="34" width="12.25" style="28" hidden="1" customWidth="1"/>
    <col min="35" max="16384" width="9" style="28" hidden="1"/>
  </cols>
  <sheetData>
    <row r="2" spans="2:34" x14ac:dyDescent="0.25">
      <c r="B2" s="2"/>
      <c r="C2" s="2"/>
      <c r="D2" s="2"/>
      <c r="E2" s="2" t="s">
        <v>1632</v>
      </c>
      <c r="F2" s="2" t="s">
        <v>1633</v>
      </c>
      <c r="G2" s="2" t="s">
        <v>1633</v>
      </c>
      <c r="H2" s="2" t="s">
        <v>1633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2:34" x14ac:dyDescent="0.25">
      <c r="B3" s="2"/>
      <c r="C3" s="26" t="s">
        <v>1660</v>
      </c>
      <c r="D3" s="2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2:34" ht="14.25" customHeight="1" x14ac:dyDescent="0.25">
      <c r="B4" s="2"/>
      <c r="C4" s="2" t="s">
        <v>1634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2:34" ht="14.25" customHeight="1" x14ac:dyDescent="0.25">
      <c r="B5" s="2"/>
      <c r="C5" s="2"/>
      <c r="D5" s="2" t="s">
        <v>1635</v>
      </c>
      <c r="E5" s="2"/>
      <c r="F5" s="2"/>
      <c r="G5" s="3">
        <v>45869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2:34" ht="14.25" customHeight="1" x14ac:dyDescent="0.25">
      <c r="B6" s="2"/>
      <c r="C6" s="2"/>
      <c r="D6" s="2" t="s">
        <v>1636</v>
      </c>
      <c r="E6" s="2"/>
      <c r="F6" s="2"/>
      <c r="G6" s="2">
        <v>10</v>
      </c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2:34" ht="14.25" customHeight="1" x14ac:dyDescent="0.25">
      <c r="B7" s="2"/>
      <c r="C7" s="2"/>
      <c r="D7" s="2" t="s">
        <v>1637</v>
      </c>
      <c r="E7" s="2"/>
      <c r="F7" s="2"/>
      <c r="G7" s="3">
        <f>EDATE(G5,G6*12)</f>
        <v>49521</v>
      </c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2:34" x14ac:dyDescent="0.25">
      <c r="B8" s="2"/>
      <c r="C8" s="2"/>
      <c r="D8" s="2" t="s">
        <v>1638</v>
      </c>
      <c r="E8" s="2"/>
      <c r="F8" s="2"/>
      <c r="G8" s="2"/>
      <c r="H8" s="2"/>
      <c r="I8" s="4">
        <f t="shared" ref="I8:AH8" si="0">IF(H11,H8,H9+1)</f>
        <v>44409</v>
      </c>
      <c r="J8" s="4">
        <f t="shared" si="0"/>
        <v>44774</v>
      </c>
      <c r="K8" s="4">
        <f t="shared" si="0"/>
        <v>45139</v>
      </c>
      <c r="L8" s="4">
        <f t="shared" si="0"/>
        <v>45505</v>
      </c>
      <c r="M8" s="4">
        <f t="shared" si="0"/>
        <v>45505</v>
      </c>
      <c r="N8" s="4">
        <f t="shared" si="0"/>
        <v>45870</v>
      </c>
      <c r="O8" s="4">
        <f t="shared" si="0"/>
        <v>46235</v>
      </c>
      <c r="P8" s="4">
        <f t="shared" si="0"/>
        <v>46600</v>
      </c>
      <c r="Q8" s="4">
        <f t="shared" si="0"/>
        <v>46966</v>
      </c>
      <c r="R8" s="4">
        <f t="shared" si="0"/>
        <v>47331</v>
      </c>
      <c r="S8" s="4">
        <f t="shared" si="0"/>
        <v>47696</v>
      </c>
      <c r="T8" s="4">
        <f t="shared" si="0"/>
        <v>48061</v>
      </c>
      <c r="U8" s="4">
        <f t="shared" si="0"/>
        <v>48427</v>
      </c>
      <c r="V8" s="4">
        <f t="shared" si="0"/>
        <v>48792</v>
      </c>
      <c r="W8" s="4">
        <f t="shared" si="0"/>
        <v>49157</v>
      </c>
      <c r="X8" s="4">
        <f t="shared" si="0"/>
        <v>49522</v>
      </c>
      <c r="Y8" s="4">
        <f t="shared" si="0"/>
        <v>49888</v>
      </c>
      <c r="Z8" s="4">
        <f t="shared" si="0"/>
        <v>50253</v>
      </c>
      <c r="AA8" s="4">
        <f t="shared" si="0"/>
        <v>50618</v>
      </c>
      <c r="AB8" s="4">
        <f t="shared" si="0"/>
        <v>50983</v>
      </c>
      <c r="AC8" s="4">
        <f t="shared" si="0"/>
        <v>51349</v>
      </c>
      <c r="AD8" s="4">
        <f t="shared" si="0"/>
        <v>51714</v>
      </c>
      <c r="AE8" s="4">
        <f t="shared" si="0"/>
        <v>52079</v>
      </c>
      <c r="AF8" s="4">
        <f t="shared" si="0"/>
        <v>52444</v>
      </c>
      <c r="AG8" s="4">
        <f t="shared" si="0"/>
        <v>52810</v>
      </c>
      <c r="AH8" s="4">
        <f t="shared" si="0"/>
        <v>53175</v>
      </c>
    </row>
    <row r="9" spans="2:34" x14ac:dyDescent="0.25">
      <c r="B9" s="2"/>
      <c r="C9" s="2"/>
      <c r="D9" s="2" t="s">
        <v>1639</v>
      </c>
      <c r="E9" s="2"/>
      <c r="F9" s="2"/>
      <c r="G9" s="2"/>
      <c r="H9" s="3">
        <v>44408</v>
      </c>
      <c r="I9" s="4">
        <f t="shared" ref="I9:AH9" si="1">EDATE(I8,12)-1</f>
        <v>44773</v>
      </c>
      <c r="J9" s="4">
        <f t="shared" si="1"/>
        <v>45138</v>
      </c>
      <c r="K9" s="4">
        <f t="shared" si="1"/>
        <v>45504</v>
      </c>
      <c r="L9" s="4">
        <f t="shared" si="1"/>
        <v>45869</v>
      </c>
      <c r="M9" s="4">
        <f t="shared" si="1"/>
        <v>45869</v>
      </c>
      <c r="N9" s="4">
        <f t="shared" si="1"/>
        <v>46234</v>
      </c>
      <c r="O9" s="4">
        <f t="shared" si="1"/>
        <v>46599</v>
      </c>
      <c r="P9" s="4">
        <f t="shared" si="1"/>
        <v>46965</v>
      </c>
      <c r="Q9" s="4">
        <f t="shared" si="1"/>
        <v>47330</v>
      </c>
      <c r="R9" s="4">
        <f t="shared" si="1"/>
        <v>47695</v>
      </c>
      <c r="S9" s="4">
        <f t="shared" si="1"/>
        <v>48060</v>
      </c>
      <c r="T9" s="4">
        <f t="shared" si="1"/>
        <v>48426</v>
      </c>
      <c r="U9" s="4">
        <f t="shared" si="1"/>
        <v>48791</v>
      </c>
      <c r="V9" s="4">
        <f t="shared" si="1"/>
        <v>49156</v>
      </c>
      <c r="W9" s="4">
        <f t="shared" si="1"/>
        <v>49521</v>
      </c>
      <c r="X9" s="4">
        <f t="shared" si="1"/>
        <v>49887</v>
      </c>
      <c r="Y9" s="4">
        <f t="shared" si="1"/>
        <v>50252</v>
      </c>
      <c r="Z9" s="4">
        <f t="shared" si="1"/>
        <v>50617</v>
      </c>
      <c r="AA9" s="4">
        <f t="shared" si="1"/>
        <v>50982</v>
      </c>
      <c r="AB9" s="4">
        <f t="shared" si="1"/>
        <v>51348</v>
      </c>
      <c r="AC9" s="4">
        <f t="shared" si="1"/>
        <v>51713</v>
      </c>
      <c r="AD9" s="4">
        <f t="shared" si="1"/>
        <v>52078</v>
      </c>
      <c r="AE9" s="4">
        <f t="shared" si="1"/>
        <v>52443</v>
      </c>
      <c r="AF9" s="4">
        <f t="shared" si="1"/>
        <v>52809</v>
      </c>
      <c r="AG9" s="4">
        <f t="shared" si="1"/>
        <v>53174</v>
      </c>
      <c r="AH9" s="4">
        <f t="shared" si="1"/>
        <v>53539</v>
      </c>
    </row>
    <row r="10" spans="2:34" x14ac:dyDescent="0.25">
      <c r="B10" s="2"/>
      <c r="C10" s="2"/>
      <c r="D10" s="2" t="s">
        <v>1640</v>
      </c>
      <c r="E10" s="2"/>
      <c r="F10" s="2"/>
      <c r="G10" s="2"/>
      <c r="H10" s="2"/>
      <c r="I10" s="5" t="b">
        <f t="shared" ref="I10:AH10" si="2">AND(I9&gt;$G$5,I9&lt;=$G$7)</f>
        <v>0</v>
      </c>
      <c r="J10" s="5" t="b">
        <f t="shared" si="2"/>
        <v>0</v>
      </c>
      <c r="K10" s="5" t="b">
        <f t="shared" si="2"/>
        <v>0</v>
      </c>
      <c r="L10" s="5" t="b">
        <f t="shared" si="2"/>
        <v>0</v>
      </c>
      <c r="M10" s="5" t="b">
        <f t="shared" si="2"/>
        <v>0</v>
      </c>
      <c r="N10" s="5" t="b">
        <f t="shared" si="2"/>
        <v>1</v>
      </c>
      <c r="O10" s="5" t="b">
        <f t="shared" si="2"/>
        <v>1</v>
      </c>
      <c r="P10" s="5" t="b">
        <f t="shared" si="2"/>
        <v>1</v>
      </c>
      <c r="Q10" s="5" t="b">
        <f t="shared" si="2"/>
        <v>1</v>
      </c>
      <c r="R10" s="5" t="b">
        <f t="shared" si="2"/>
        <v>1</v>
      </c>
      <c r="S10" s="5" t="b">
        <f t="shared" si="2"/>
        <v>1</v>
      </c>
      <c r="T10" s="5" t="b">
        <f t="shared" si="2"/>
        <v>1</v>
      </c>
      <c r="U10" s="5" t="b">
        <f t="shared" si="2"/>
        <v>1</v>
      </c>
      <c r="V10" s="5" t="b">
        <f t="shared" si="2"/>
        <v>1</v>
      </c>
      <c r="W10" s="5" t="b">
        <f t="shared" si="2"/>
        <v>1</v>
      </c>
      <c r="X10" s="5" t="b">
        <f t="shared" si="2"/>
        <v>0</v>
      </c>
      <c r="Y10" s="5" t="b">
        <f t="shared" si="2"/>
        <v>0</v>
      </c>
      <c r="Z10" s="5" t="b">
        <f t="shared" si="2"/>
        <v>0</v>
      </c>
      <c r="AA10" s="5" t="b">
        <f t="shared" si="2"/>
        <v>0</v>
      </c>
      <c r="AB10" s="5" t="b">
        <f t="shared" si="2"/>
        <v>0</v>
      </c>
      <c r="AC10" s="5" t="b">
        <f t="shared" si="2"/>
        <v>0</v>
      </c>
      <c r="AD10" s="5" t="b">
        <f t="shared" si="2"/>
        <v>0</v>
      </c>
      <c r="AE10" s="5" t="b">
        <f t="shared" si="2"/>
        <v>0</v>
      </c>
      <c r="AF10" s="5" t="b">
        <f t="shared" si="2"/>
        <v>0</v>
      </c>
      <c r="AG10" s="5" t="b">
        <f t="shared" si="2"/>
        <v>0</v>
      </c>
      <c r="AH10" s="5" t="b">
        <f t="shared" si="2"/>
        <v>0</v>
      </c>
    </row>
    <row r="11" spans="2:34" x14ac:dyDescent="0.25">
      <c r="B11" s="2"/>
      <c r="C11" s="2"/>
      <c r="D11" s="2" t="s">
        <v>1641</v>
      </c>
      <c r="E11" s="2"/>
      <c r="F11" s="2"/>
      <c r="G11" s="2"/>
      <c r="H11" s="2"/>
      <c r="I11" s="5" t="b">
        <f t="shared" ref="I11:AH11" si="3">AND(NOT(H11),I9=$G$5)</f>
        <v>0</v>
      </c>
      <c r="J11" s="5" t="b">
        <f t="shared" si="3"/>
        <v>0</v>
      </c>
      <c r="K11" s="5" t="b">
        <f t="shared" si="3"/>
        <v>0</v>
      </c>
      <c r="L11" s="5" t="b">
        <f t="shared" si="3"/>
        <v>1</v>
      </c>
      <c r="M11" s="5" t="b">
        <f t="shared" si="3"/>
        <v>0</v>
      </c>
      <c r="N11" s="5" t="b">
        <f t="shared" si="3"/>
        <v>0</v>
      </c>
      <c r="O11" s="5" t="b">
        <f t="shared" si="3"/>
        <v>0</v>
      </c>
      <c r="P11" s="5" t="b">
        <f t="shared" si="3"/>
        <v>0</v>
      </c>
      <c r="Q11" s="5" t="b">
        <f t="shared" si="3"/>
        <v>0</v>
      </c>
      <c r="R11" s="5" t="b">
        <f t="shared" si="3"/>
        <v>0</v>
      </c>
      <c r="S11" s="5" t="b">
        <f t="shared" si="3"/>
        <v>0</v>
      </c>
      <c r="T11" s="5" t="b">
        <f t="shared" si="3"/>
        <v>0</v>
      </c>
      <c r="U11" s="5" t="b">
        <f t="shared" si="3"/>
        <v>0</v>
      </c>
      <c r="V11" s="5" t="b">
        <f t="shared" si="3"/>
        <v>0</v>
      </c>
      <c r="W11" s="5" t="b">
        <f t="shared" si="3"/>
        <v>0</v>
      </c>
      <c r="X11" s="5" t="b">
        <f t="shared" si="3"/>
        <v>0</v>
      </c>
      <c r="Y11" s="5" t="b">
        <f t="shared" si="3"/>
        <v>0</v>
      </c>
      <c r="Z11" s="5" t="b">
        <f t="shared" si="3"/>
        <v>0</v>
      </c>
      <c r="AA11" s="5" t="b">
        <f t="shared" si="3"/>
        <v>0</v>
      </c>
      <c r="AB11" s="5" t="b">
        <f t="shared" si="3"/>
        <v>0</v>
      </c>
      <c r="AC11" s="5" t="b">
        <f t="shared" si="3"/>
        <v>0</v>
      </c>
      <c r="AD11" s="5" t="b">
        <f t="shared" si="3"/>
        <v>0</v>
      </c>
      <c r="AE11" s="5" t="b">
        <f t="shared" si="3"/>
        <v>0</v>
      </c>
      <c r="AF11" s="5" t="b">
        <f t="shared" si="3"/>
        <v>0</v>
      </c>
      <c r="AG11" s="5" t="b">
        <f t="shared" si="3"/>
        <v>0</v>
      </c>
      <c r="AH11" s="5" t="b">
        <f t="shared" si="3"/>
        <v>0</v>
      </c>
    </row>
    <row r="12" spans="2:34" x14ac:dyDescent="0.25">
      <c r="B12" s="2"/>
      <c r="C12" s="2"/>
      <c r="D12" s="2" t="s">
        <v>1642</v>
      </c>
      <c r="E12" s="2"/>
      <c r="F12" s="2"/>
      <c r="G12" s="2"/>
      <c r="H12" s="2"/>
      <c r="I12" s="6" t="str">
        <f t="shared" ref="I12:AH12" si="4">IF(AND(I9=$G$5,H11), "TTM", IF(I9&lt;=$G$5, "Historical", IF(I9&gt;$G$7, "", "Forecast")))</f>
        <v>Historical</v>
      </c>
      <c r="J12" s="6" t="str">
        <f t="shared" si="4"/>
        <v>Historical</v>
      </c>
      <c r="K12" s="6" t="str">
        <f t="shared" si="4"/>
        <v>Historical</v>
      </c>
      <c r="L12" s="6" t="str">
        <f t="shared" si="4"/>
        <v>Historical</v>
      </c>
      <c r="M12" s="86" t="str">
        <f>IF(AND(M9=$G$5,L11), "", IF(M9&lt;=$G$5, "Historical", IF(M9&gt;$G$7, "", "Forecast")))</f>
        <v/>
      </c>
      <c r="N12" s="6" t="str">
        <f t="shared" si="4"/>
        <v>Forecast</v>
      </c>
      <c r="O12" s="6" t="str">
        <f t="shared" si="4"/>
        <v>Forecast</v>
      </c>
      <c r="P12" s="6" t="str">
        <f t="shared" si="4"/>
        <v>Forecast</v>
      </c>
      <c r="Q12" s="6" t="str">
        <f t="shared" si="4"/>
        <v>Forecast</v>
      </c>
      <c r="R12" s="6" t="str">
        <f t="shared" si="4"/>
        <v>Forecast</v>
      </c>
      <c r="S12" s="6" t="str">
        <f t="shared" si="4"/>
        <v>Forecast</v>
      </c>
      <c r="T12" s="6" t="str">
        <f t="shared" si="4"/>
        <v>Forecast</v>
      </c>
      <c r="U12" s="6" t="str">
        <f t="shared" si="4"/>
        <v>Forecast</v>
      </c>
      <c r="V12" s="6" t="str">
        <f t="shared" si="4"/>
        <v>Forecast</v>
      </c>
      <c r="W12" s="6" t="str">
        <f t="shared" si="4"/>
        <v>Forecast</v>
      </c>
      <c r="X12" s="6" t="str">
        <f t="shared" si="4"/>
        <v/>
      </c>
      <c r="Y12" s="6" t="str">
        <f t="shared" si="4"/>
        <v/>
      </c>
      <c r="Z12" s="6" t="str">
        <f t="shared" si="4"/>
        <v/>
      </c>
      <c r="AA12" s="6" t="str">
        <f t="shared" si="4"/>
        <v/>
      </c>
      <c r="AB12" s="6" t="str">
        <f t="shared" si="4"/>
        <v/>
      </c>
      <c r="AC12" s="6" t="str">
        <f t="shared" si="4"/>
        <v/>
      </c>
      <c r="AD12" s="6" t="str">
        <f t="shared" si="4"/>
        <v/>
      </c>
      <c r="AE12" s="6" t="str">
        <f t="shared" si="4"/>
        <v/>
      </c>
      <c r="AF12" s="6" t="str">
        <f t="shared" si="4"/>
        <v/>
      </c>
      <c r="AG12" s="6" t="str">
        <f t="shared" si="4"/>
        <v/>
      </c>
      <c r="AH12" s="6" t="str">
        <f t="shared" si="4"/>
        <v/>
      </c>
    </row>
    <row r="14" spans="2:34" x14ac:dyDescent="0.25">
      <c r="B14" s="2"/>
      <c r="C14" s="2" t="s">
        <v>1791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6" spans="2:34" x14ac:dyDescent="0.25">
      <c r="C16" s="28" t="s">
        <v>1784</v>
      </c>
      <c r="I16" s="17"/>
      <c r="J16" s="17"/>
      <c r="K16" s="68">
        <v>10600000</v>
      </c>
      <c r="L16" s="23">
        <f>R16/(1+F17)^5</f>
        <v>12196309.015752511</v>
      </c>
      <c r="M16" s="23">
        <f>L16</f>
        <v>12196309.015752511</v>
      </c>
      <c r="N16" s="68">
        <v>14100000</v>
      </c>
      <c r="O16" s="23">
        <f>N16+($R$16-$N$16)/4</f>
        <v>17375000</v>
      </c>
      <c r="P16" s="23">
        <f t="shared" ref="P16" si="5">O16+($R$16-$N$16)/4</f>
        <v>20650000</v>
      </c>
      <c r="Q16" s="23">
        <f>P16+($R$16-$N$16)/4</f>
        <v>23925000</v>
      </c>
      <c r="R16" s="68">
        <v>27200000</v>
      </c>
    </row>
    <row r="17" spans="2:34" x14ac:dyDescent="0.25">
      <c r="D17" s="28" t="s">
        <v>1785</v>
      </c>
      <c r="F17" s="75">
        <v>0.17399999999999999</v>
      </c>
      <c r="G17" s="69"/>
    </row>
    <row r="18" spans="2:34" x14ac:dyDescent="0.25">
      <c r="D18" s="28" t="s">
        <v>1786</v>
      </c>
      <c r="F18" s="69"/>
      <c r="G18" s="69"/>
      <c r="K18" s="29">
        <f t="shared" ref="K18:R18" si="6">K65/K16</f>
        <v>0.3997002830188679</v>
      </c>
      <c r="L18" s="29">
        <f t="shared" si="6"/>
        <v>0.3810134684188537</v>
      </c>
      <c r="M18" s="29">
        <f t="shared" si="6"/>
        <v>0.3810134684188537</v>
      </c>
      <c r="N18" s="29">
        <f t="shared" si="6"/>
        <v>0.35045492314109739</v>
      </c>
      <c r="O18" s="29">
        <f t="shared" si="6"/>
        <v>0.30197357068916314</v>
      </c>
      <c r="P18" s="29">
        <f t="shared" si="6"/>
        <v>0.26941280595766015</v>
      </c>
      <c r="Q18" s="29">
        <f t="shared" si="6"/>
        <v>0.24624704290587973</v>
      </c>
      <c r="R18" s="29">
        <f t="shared" si="6"/>
        <v>0.22909382980380258</v>
      </c>
    </row>
    <row r="19" spans="2:34" x14ac:dyDescent="0.25"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2:34" x14ac:dyDescent="0.25">
      <c r="C20" s="97" t="s">
        <v>1796</v>
      </c>
      <c r="I20" s="17">
        <v>284000</v>
      </c>
      <c r="J20" s="17">
        <v>286000</v>
      </c>
      <c r="K20" s="17">
        <v>289000</v>
      </c>
      <c r="L20" s="17">
        <v>293000</v>
      </c>
      <c r="M20" s="23">
        <f>L20</f>
        <v>293000</v>
      </c>
      <c r="N20" s="23">
        <f>M20*(1+N21)*N10</f>
        <v>295930</v>
      </c>
      <c r="O20" s="23">
        <f t="shared" ref="O20:W20" si="7">N20*(1+O21)*O10</f>
        <v>298889.3</v>
      </c>
      <c r="P20" s="23">
        <f t="shared" si="7"/>
        <v>301878.19299999997</v>
      </c>
      <c r="Q20" s="23">
        <f t="shared" si="7"/>
        <v>304896.97492999997</v>
      </c>
      <c r="R20" s="23">
        <f t="shared" si="7"/>
        <v>307945.94467929995</v>
      </c>
      <c r="S20" s="23">
        <f t="shared" si="7"/>
        <v>311025.40412609297</v>
      </c>
      <c r="T20" s="23">
        <f t="shared" si="7"/>
        <v>314135.65816735389</v>
      </c>
      <c r="U20" s="23">
        <f t="shared" si="7"/>
        <v>317277.01474902744</v>
      </c>
      <c r="V20" s="23">
        <f t="shared" si="7"/>
        <v>320449.7848965177</v>
      </c>
      <c r="W20" s="23">
        <f t="shared" si="7"/>
        <v>323654.28274548287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2:34" x14ac:dyDescent="0.25">
      <c r="C21" s="97"/>
      <c r="D21" s="97" t="s">
        <v>1798</v>
      </c>
      <c r="I21" s="17"/>
      <c r="J21" s="29">
        <f>J20/I20-1</f>
        <v>7.0422535211267512E-3</v>
      </c>
      <c r="K21" s="29">
        <f t="shared" ref="K21" si="8">K20/J20-1</f>
        <v>1.0489510489510412E-2</v>
      </c>
      <c r="L21" s="29">
        <f>L20/K20-1</f>
        <v>1.384083044982698E-2</v>
      </c>
      <c r="M21" s="29">
        <v>0</v>
      </c>
      <c r="N21" s="76">
        <v>0.01</v>
      </c>
      <c r="O21" s="29">
        <f>N21*O10</f>
        <v>0.01</v>
      </c>
      <c r="P21" s="29">
        <f t="shared" ref="P21:W21" si="9">O21*P10</f>
        <v>0.01</v>
      </c>
      <c r="Q21" s="29">
        <f t="shared" si="9"/>
        <v>0.01</v>
      </c>
      <c r="R21" s="29">
        <f t="shared" si="9"/>
        <v>0.01</v>
      </c>
      <c r="S21" s="29">
        <f t="shared" si="9"/>
        <v>0.01</v>
      </c>
      <c r="T21" s="29">
        <f t="shared" si="9"/>
        <v>0.01</v>
      </c>
      <c r="U21" s="29">
        <f t="shared" si="9"/>
        <v>0.01</v>
      </c>
      <c r="V21" s="29">
        <f t="shared" si="9"/>
        <v>0.01</v>
      </c>
      <c r="W21" s="29">
        <f t="shared" si="9"/>
        <v>0.01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2:34" x14ac:dyDescent="0.25">
      <c r="C22" s="97" t="s">
        <v>1795</v>
      </c>
      <c r="I22" s="98">
        <v>0.22800000000000001</v>
      </c>
      <c r="J22" s="98">
        <v>0.192</v>
      </c>
      <c r="K22" s="98">
        <v>0.221</v>
      </c>
      <c r="L22" s="98">
        <v>0.22800000000000001</v>
      </c>
      <c r="M22" s="98">
        <f>L22</f>
        <v>0.22800000000000001</v>
      </c>
      <c r="N22" s="99">
        <v>0.23100000000000001</v>
      </c>
      <c r="O22" s="29">
        <f>(N22+0.3%)*O10</f>
        <v>0.23400000000000001</v>
      </c>
      <c r="P22" s="29">
        <f t="shared" ref="P22:W22" si="10">(O22+0.3%)*P10</f>
        <v>0.23700000000000002</v>
      </c>
      <c r="Q22" s="29">
        <f t="shared" si="10"/>
        <v>0.24000000000000002</v>
      </c>
      <c r="R22" s="29">
        <f>(Q22+0.3%)*R10</f>
        <v>0.24300000000000002</v>
      </c>
      <c r="S22" s="29">
        <f t="shared" si="10"/>
        <v>0.24600000000000002</v>
      </c>
      <c r="T22" s="29">
        <f t="shared" si="10"/>
        <v>0.24900000000000003</v>
      </c>
      <c r="U22" s="29">
        <f t="shared" si="10"/>
        <v>0.252</v>
      </c>
      <c r="V22" s="29">
        <f t="shared" si="10"/>
        <v>0.255</v>
      </c>
      <c r="W22" s="29">
        <f t="shared" si="10"/>
        <v>0.25800000000000001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2:34" ht="15.75" x14ac:dyDescent="0.25">
      <c r="D23" s="101" t="s">
        <v>1797</v>
      </c>
      <c r="I23" s="100">
        <v>0.06</v>
      </c>
      <c r="J23" s="100">
        <v>0.06</v>
      </c>
      <c r="K23" s="100">
        <v>0.06</v>
      </c>
      <c r="L23" s="100">
        <v>0.06</v>
      </c>
      <c r="M23" s="100">
        <v>0.06</v>
      </c>
      <c r="N23" s="95">
        <f>DCF!G10</f>
        <v>0.06</v>
      </c>
      <c r="O23" s="29">
        <f>N23</f>
        <v>0.06</v>
      </c>
      <c r="P23" s="29">
        <f t="shared" ref="P23:W23" si="11">O23</f>
        <v>0.06</v>
      </c>
      <c r="Q23" s="29">
        <f t="shared" si="11"/>
        <v>0.06</v>
      </c>
      <c r="R23" s="29">
        <f t="shared" si="11"/>
        <v>0.06</v>
      </c>
      <c r="S23" s="29">
        <f t="shared" si="11"/>
        <v>0.06</v>
      </c>
      <c r="T23" s="29">
        <f t="shared" si="11"/>
        <v>0.06</v>
      </c>
      <c r="U23" s="29">
        <f t="shared" si="11"/>
        <v>0.06</v>
      </c>
      <c r="V23" s="29">
        <f t="shared" si="11"/>
        <v>0.06</v>
      </c>
      <c r="W23" s="29">
        <f t="shared" si="11"/>
        <v>0.06</v>
      </c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2:34" x14ac:dyDescent="0.25">
      <c r="C24" s="28" t="s">
        <v>1780</v>
      </c>
      <c r="I24" s="32">
        <f t="shared" ref="I24:W24" si="12">I20*I22*I23</f>
        <v>3885.12</v>
      </c>
      <c r="J24" s="32">
        <f t="shared" si="12"/>
        <v>3294.72</v>
      </c>
      <c r="K24" s="32">
        <f t="shared" si="12"/>
        <v>3832.14</v>
      </c>
      <c r="L24" s="32">
        <f t="shared" si="12"/>
        <v>4008.24</v>
      </c>
      <c r="M24" s="32">
        <f t="shared" si="12"/>
        <v>4008.24</v>
      </c>
      <c r="N24" s="32">
        <f t="shared" si="12"/>
        <v>4101.5897999999997</v>
      </c>
      <c r="O24" s="32">
        <f t="shared" si="12"/>
        <v>4196.4057720000001</v>
      </c>
      <c r="P24" s="32">
        <f t="shared" si="12"/>
        <v>4292.7079044600005</v>
      </c>
      <c r="Q24" s="32">
        <f t="shared" si="12"/>
        <v>4390.5164389919992</v>
      </c>
      <c r="R24" s="32">
        <f t="shared" si="12"/>
        <v>4489.8518734241943</v>
      </c>
      <c r="S24" s="32">
        <f t="shared" si="12"/>
        <v>4590.7349649011321</v>
      </c>
      <c r="T24" s="32">
        <f t="shared" si="12"/>
        <v>4693.1867330202676</v>
      </c>
      <c r="U24" s="32">
        <f t="shared" si="12"/>
        <v>4797.2284630052955</v>
      </c>
      <c r="V24" s="32">
        <f t="shared" si="12"/>
        <v>4902.8817089167205</v>
      </c>
      <c r="W24" s="32">
        <f t="shared" si="12"/>
        <v>5010.1682969000749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2:34" x14ac:dyDescent="0.25">
      <c r="C25" s="28" t="s">
        <v>1787</v>
      </c>
      <c r="I25" s="102"/>
      <c r="J25" s="29">
        <f>J24/I24-1</f>
        <v>-0.15196441808747219</v>
      </c>
      <c r="K25" s="29">
        <f t="shared" ref="K25:W25" si="13">K24/J24-1</f>
        <v>0.16311553030303028</v>
      </c>
      <c r="L25" s="29">
        <f t="shared" si="13"/>
        <v>4.5953435939187992E-2</v>
      </c>
      <c r="M25" s="29">
        <f t="shared" si="13"/>
        <v>0</v>
      </c>
      <c r="N25" s="29">
        <f t="shared" si="13"/>
        <v>2.3289473684210416E-2</v>
      </c>
      <c r="O25" s="29">
        <f>O24/N24-1</f>
        <v>2.3116883116883091E-2</v>
      </c>
      <c r="P25" s="29">
        <f t="shared" si="13"/>
        <v>2.2948717948718E-2</v>
      </c>
      <c r="Q25" s="29">
        <f t="shared" si="13"/>
        <v>2.2784810126581956E-2</v>
      </c>
      <c r="R25" s="29">
        <f t="shared" si="13"/>
        <v>2.2625000000000339E-2</v>
      </c>
      <c r="S25" s="29">
        <f t="shared" si="13"/>
        <v>2.2469135802468898E-2</v>
      </c>
      <c r="T25" s="29">
        <f t="shared" si="13"/>
        <v>2.2317073170731838E-2</v>
      </c>
      <c r="U25" s="29">
        <f t="shared" si="13"/>
        <v>2.2168674698795243E-2</v>
      </c>
      <c r="V25" s="29">
        <f t="shared" si="13"/>
        <v>2.2023809523809224E-2</v>
      </c>
      <c r="W25" s="29">
        <f t="shared" si="13"/>
        <v>2.1882352941176464E-2</v>
      </c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2:34" x14ac:dyDescent="0.25">
      <c r="C26" s="28" t="s">
        <v>1781</v>
      </c>
      <c r="L26" s="32">
        <f>L61/L24</f>
        <v>990.12584076801795</v>
      </c>
      <c r="M26" s="32">
        <f>M61/M24</f>
        <v>990.12584076801795</v>
      </c>
      <c r="N26" s="22">
        <f t="shared" ref="N26:V26" si="14">M26+($W$26-$M$26)/10</f>
        <v>1031.1132566912161</v>
      </c>
      <c r="O26" s="22">
        <f t="shared" si="14"/>
        <v>1072.1006726144142</v>
      </c>
      <c r="P26" s="22">
        <f t="shared" si="14"/>
        <v>1113.0880885376123</v>
      </c>
      <c r="Q26" s="22">
        <f t="shared" si="14"/>
        <v>1154.0755044608104</v>
      </c>
      <c r="R26" s="22">
        <f t="shared" si="14"/>
        <v>1195.0629203840085</v>
      </c>
      <c r="S26" s="22">
        <f t="shared" si="14"/>
        <v>1236.0503363072066</v>
      </c>
      <c r="T26" s="22">
        <f t="shared" si="14"/>
        <v>1277.0377522304047</v>
      </c>
      <c r="U26" s="22">
        <f t="shared" si="14"/>
        <v>1318.0251681536029</v>
      </c>
      <c r="V26" s="22">
        <f t="shared" si="14"/>
        <v>1359.012584076801</v>
      </c>
      <c r="W26" s="22">
        <v>1400</v>
      </c>
    </row>
    <row r="27" spans="2:34" x14ac:dyDescent="0.25">
      <c r="L27" s="32"/>
    </row>
    <row r="28" spans="2:34" x14ac:dyDescent="0.25">
      <c r="B28" s="2"/>
      <c r="C28" s="2" t="s">
        <v>1644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30" spans="2:34" x14ac:dyDescent="0.25">
      <c r="C30" s="28" t="str">
        <f t="shared" ref="C30:C37" si="15">C58</f>
        <v>Service revenues and vehicle sales:</v>
      </c>
    </row>
    <row r="31" spans="2:34" x14ac:dyDescent="0.25">
      <c r="C31" s="28">
        <f t="shared" si="15"/>
        <v>0</v>
      </c>
      <c r="D31" s="28" t="str">
        <f>D59</f>
        <v>United States</v>
      </c>
      <c r="J31" s="29">
        <f t="shared" ref="J31:L37" si="16">J59/I59-1</f>
        <v>0.12177493372914916</v>
      </c>
      <c r="K31" s="29">
        <f t="shared" si="16"/>
        <v>0.10010448188212373</v>
      </c>
      <c r="L31" s="29">
        <f t="shared" si="16"/>
        <v>0.10410920692926839</v>
      </c>
      <c r="N31" s="29">
        <f t="shared" ref="N31:AH31" si="17">(N59/M59-1)*N10</f>
        <v>6.5649736936396641E-2</v>
      </c>
      <c r="O31" s="29">
        <f t="shared" si="17"/>
        <v>5.7670636405154907E-2</v>
      </c>
      <c r="P31" s="29">
        <f t="shared" si="17"/>
        <v>5.5915843377074781E-2</v>
      </c>
      <c r="Q31" s="29">
        <f t="shared" si="17"/>
        <v>5.4279456403162341E-2</v>
      </c>
      <c r="R31" s="29">
        <f t="shared" si="17"/>
        <v>5.274909801102301E-2</v>
      </c>
      <c r="S31" s="29">
        <f t="shared" si="17"/>
        <v>5.131407397840948E-2</v>
      </c>
      <c r="T31" s="29">
        <f t="shared" si="17"/>
        <v>4.9965095025902961E-2</v>
      </c>
      <c r="U31" s="29">
        <f t="shared" si="17"/>
        <v>4.8694052046793113E-2</v>
      </c>
      <c r="V31" s="29">
        <f t="shared" si="17"/>
        <v>4.7493833224560467E-2</v>
      </c>
      <c r="W31" s="29">
        <f t="shared" si="17"/>
        <v>4.6358174198678936E-2</v>
      </c>
      <c r="X31" s="29">
        <f t="shared" si="17"/>
        <v>0</v>
      </c>
      <c r="Y31" s="29" t="e">
        <f t="shared" si="17"/>
        <v>#DIV/0!</v>
      </c>
      <c r="Z31" s="29" t="e">
        <f t="shared" si="17"/>
        <v>#DIV/0!</v>
      </c>
      <c r="AA31" s="29" t="e">
        <f t="shared" si="17"/>
        <v>#DIV/0!</v>
      </c>
      <c r="AB31" s="29" t="e">
        <f t="shared" si="17"/>
        <v>#DIV/0!</v>
      </c>
      <c r="AC31" s="29" t="e">
        <f t="shared" si="17"/>
        <v>#DIV/0!</v>
      </c>
      <c r="AD31" s="29" t="e">
        <f t="shared" si="17"/>
        <v>#DIV/0!</v>
      </c>
      <c r="AE31" s="29" t="e">
        <f t="shared" si="17"/>
        <v>#DIV/0!</v>
      </c>
      <c r="AF31" s="29" t="e">
        <f t="shared" si="17"/>
        <v>#DIV/0!</v>
      </c>
      <c r="AG31" s="29" t="e">
        <f t="shared" si="17"/>
        <v>#DIV/0!</v>
      </c>
      <c r="AH31" s="29" t="e">
        <f t="shared" si="17"/>
        <v>#DIV/0!</v>
      </c>
    </row>
    <row r="32" spans="2:34" x14ac:dyDescent="0.25">
      <c r="C32" s="28">
        <f t="shared" si="15"/>
        <v>0</v>
      </c>
      <c r="D32" s="28" t="str">
        <f>D60</f>
        <v>International</v>
      </c>
      <c r="J32" s="29">
        <f t="shared" si="16"/>
        <v>0.11445720984759666</v>
      </c>
      <c r="K32" s="29">
        <f t="shared" si="16"/>
        <v>0.21996033515948699</v>
      </c>
      <c r="L32" s="29">
        <f t="shared" si="16"/>
        <v>0.18901816509542413</v>
      </c>
      <c r="N32" s="29">
        <f t="shared" ref="N32:AH32" si="18">(N60/M60-1)*N10</f>
        <v>6.5649736936396197E-2</v>
      </c>
      <c r="O32" s="29">
        <f t="shared" si="18"/>
        <v>0.10460809879789945</v>
      </c>
      <c r="P32" s="29">
        <f t="shared" si="18"/>
        <v>0.10130616022700267</v>
      </c>
      <c r="Q32" s="29">
        <f t="shared" si="18"/>
        <v>9.8239956682482976E-2</v>
      </c>
      <c r="R32" s="29">
        <f t="shared" si="18"/>
        <v>9.5384616941188494E-2</v>
      </c>
      <c r="S32" s="29">
        <f t="shared" si="18"/>
        <v>9.2718673144063901E-2</v>
      </c>
      <c r="T32" s="29">
        <f t="shared" si="18"/>
        <v>9.0223496569139527E-2</v>
      </c>
      <c r="U32" s="29">
        <f t="shared" si="18"/>
        <v>8.7882842139234585E-2</v>
      </c>
      <c r="V32" s="29">
        <f t="shared" si="18"/>
        <v>8.5682477971527504E-2</v>
      </c>
      <c r="W32" s="29">
        <f t="shared" si="18"/>
        <v>8.3609881998534918E-2</v>
      </c>
      <c r="X32" s="29">
        <f t="shared" si="18"/>
        <v>0</v>
      </c>
      <c r="Y32" s="29" t="e">
        <f t="shared" si="18"/>
        <v>#DIV/0!</v>
      </c>
      <c r="Z32" s="29" t="e">
        <f t="shared" si="18"/>
        <v>#DIV/0!</v>
      </c>
      <c r="AA32" s="29" t="e">
        <f t="shared" si="18"/>
        <v>#DIV/0!</v>
      </c>
      <c r="AB32" s="29" t="e">
        <f t="shared" si="18"/>
        <v>#DIV/0!</v>
      </c>
      <c r="AC32" s="29" t="e">
        <f t="shared" si="18"/>
        <v>#DIV/0!</v>
      </c>
      <c r="AD32" s="29" t="e">
        <f t="shared" si="18"/>
        <v>#DIV/0!</v>
      </c>
      <c r="AE32" s="29" t="e">
        <f t="shared" si="18"/>
        <v>#DIV/0!</v>
      </c>
      <c r="AF32" s="29" t="e">
        <f t="shared" si="18"/>
        <v>#DIV/0!</v>
      </c>
      <c r="AG32" s="29" t="e">
        <f t="shared" si="18"/>
        <v>#DIV/0!</v>
      </c>
      <c r="AH32" s="29" t="e">
        <f t="shared" si="18"/>
        <v>#DIV/0!</v>
      </c>
    </row>
    <row r="33" spans="3:34" s="7" customFormat="1" x14ac:dyDescent="0.25">
      <c r="C33" s="7" t="str">
        <f t="shared" si="15"/>
        <v>Service revenues</v>
      </c>
      <c r="J33" s="31">
        <f t="shared" si="16"/>
        <v>0.12095449064857133</v>
      </c>
      <c r="K33" s="31">
        <f t="shared" si="16"/>
        <v>0.11346450173351408</v>
      </c>
      <c r="L33" s="31">
        <f t="shared" si="16"/>
        <v>0.11447901461442589</v>
      </c>
      <c r="N33" s="31">
        <f t="shared" ref="N33:AH33" si="19">(N61/M61-1)*N10</f>
        <v>6.5649736936396419E-2</v>
      </c>
      <c r="O33" s="31">
        <f t="shared" si="19"/>
        <v>6.3786438041358196E-2</v>
      </c>
      <c r="P33" s="31">
        <f t="shared" si="19"/>
        <v>6.2057008468134667E-2</v>
      </c>
      <c r="Q33" s="31">
        <f t="shared" si="19"/>
        <v>6.0446974374214868E-2</v>
      </c>
      <c r="R33" s="31">
        <f t="shared" si="19"/>
        <v>5.8943902919652347E-2</v>
      </c>
      <c r="S33" s="31">
        <f t="shared" si="19"/>
        <v>5.7537053167273644E-2</v>
      </c>
      <c r="T33" s="31">
        <f t="shared" si="19"/>
        <v>5.6217096375790865E-2</v>
      </c>
      <c r="U33" s="31">
        <f t="shared" si="19"/>
        <v>5.4975890100509295E-2</v>
      </c>
      <c r="V33" s="31">
        <f t="shared" si="19"/>
        <v>5.3806294393234699E-2</v>
      </c>
      <c r="W33" s="31">
        <f t="shared" si="19"/>
        <v>5.2702021217486017E-2</v>
      </c>
      <c r="X33" s="31">
        <f t="shared" si="19"/>
        <v>0</v>
      </c>
      <c r="Y33" s="31" t="e">
        <f t="shared" si="19"/>
        <v>#DIV/0!</v>
      </c>
      <c r="Z33" s="31" t="e">
        <f t="shared" si="19"/>
        <v>#DIV/0!</v>
      </c>
      <c r="AA33" s="31" t="e">
        <f t="shared" si="19"/>
        <v>#DIV/0!</v>
      </c>
      <c r="AB33" s="31" t="e">
        <f t="shared" si="19"/>
        <v>#DIV/0!</v>
      </c>
      <c r="AC33" s="31" t="e">
        <f t="shared" si="19"/>
        <v>#DIV/0!</v>
      </c>
      <c r="AD33" s="31" t="e">
        <f t="shared" si="19"/>
        <v>#DIV/0!</v>
      </c>
      <c r="AE33" s="31" t="e">
        <f t="shared" si="19"/>
        <v>#DIV/0!</v>
      </c>
      <c r="AF33" s="31" t="e">
        <f t="shared" si="19"/>
        <v>#DIV/0!</v>
      </c>
      <c r="AG33" s="31" t="e">
        <f t="shared" si="19"/>
        <v>#DIV/0!</v>
      </c>
      <c r="AH33" s="31" t="e">
        <f t="shared" si="19"/>
        <v>#DIV/0!</v>
      </c>
    </row>
    <row r="34" spans="3:34" x14ac:dyDescent="0.25">
      <c r="C34" s="28">
        <f t="shared" si="15"/>
        <v>0</v>
      </c>
      <c r="D34" s="28" t="str">
        <f>D62</f>
        <v>United States</v>
      </c>
      <c r="J34" s="29">
        <f t="shared" si="16"/>
        <v>-0.15529206160418463</v>
      </c>
      <c r="K34" s="29">
        <f t="shared" si="16"/>
        <v>-2.6936239788280081E-2</v>
      </c>
      <c r="L34" s="29">
        <f t="shared" si="16"/>
        <v>0.19169130002096657</v>
      </c>
      <c r="N34" s="73">
        <v>0.05</v>
      </c>
      <c r="O34" s="30">
        <f t="shared" ref="O34:AH34" si="20">N34*O10</f>
        <v>0.05</v>
      </c>
      <c r="P34" s="30">
        <f t="shared" si="20"/>
        <v>0.05</v>
      </c>
      <c r="Q34" s="30">
        <f t="shared" si="20"/>
        <v>0.05</v>
      </c>
      <c r="R34" s="30">
        <f t="shared" si="20"/>
        <v>0.05</v>
      </c>
      <c r="S34" s="30">
        <f t="shared" si="20"/>
        <v>0.05</v>
      </c>
      <c r="T34" s="30">
        <f t="shared" si="20"/>
        <v>0.05</v>
      </c>
      <c r="U34" s="30">
        <f t="shared" si="20"/>
        <v>0.05</v>
      </c>
      <c r="V34" s="30">
        <f t="shared" si="20"/>
        <v>0.05</v>
      </c>
      <c r="W34" s="30">
        <f t="shared" si="20"/>
        <v>0.05</v>
      </c>
      <c r="X34" s="30">
        <f t="shared" si="20"/>
        <v>0</v>
      </c>
      <c r="Y34" s="30">
        <f t="shared" si="20"/>
        <v>0</v>
      </c>
      <c r="Z34" s="30">
        <f t="shared" si="20"/>
        <v>0</v>
      </c>
      <c r="AA34" s="30">
        <f t="shared" si="20"/>
        <v>0</v>
      </c>
      <c r="AB34" s="30">
        <f t="shared" si="20"/>
        <v>0</v>
      </c>
      <c r="AC34" s="30">
        <f t="shared" si="20"/>
        <v>0</v>
      </c>
      <c r="AD34" s="30">
        <f t="shared" si="20"/>
        <v>0</v>
      </c>
      <c r="AE34" s="30">
        <f t="shared" si="20"/>
        <v>0</v>
      </c>
      <c r="AF34" s="30">
        <f t="shared" si="20"/>
        <v>0</v>
      </c>
      <c r="AG34" s="30">
        <f t="shared" si="20"/>
        <v>0</v>
      </c>
      <c r="AH34" s="30">
        <f t="shared" si="20"/>
        <v>0</v>
      </c>
    </row>
    <row r="35" spans="3:34" x14ac:dyDescent="0.25">
      <c r="C35" s="28">
        <f t="shared" si="15"/>
        <v>0</v>
      </c>
      <c r="D35" s="28" t="str">
        <f>D63</f>
        <v>International</v>
      </c>
      <c r="J35" s="29">
        <f t="shared" si="16"/>
        <v>0.37087106182385465</v>
      </c>
      <c r="K35" s="29">
        <f t="shared" si="16"/>
        <v>4.2689318857206393E-2</v>
      </c>
      <c r="L35" s="29">
        <f t="shared" si="16"/>
        <v>-0.18517266332135185</v>
      </c>
      <c r="N35" s="73">
        <v>0.05</v>
      </c>
      <c r="O35" s="30">
        <f t="shared" ref="O35:AH35" si="21">N35*O10</f>
        <v>0.05</v>
      </c>
      <c r="P35" s="30">
        <f t="shared" si="21"/>
        <v>0.05</v>
      </c>
      <c r="Q35" s="30">
        <f t="shared" si="21"/>
        <v>0.05</v>
      </c>
      <c r="R35" s="30">
        <f t="shared" si="21"/>
        <v>0.05</v>
      </c>
      <c r="S35" s="30">
        <f t="shared" si="21"/>
        <v>0.05</v>
      </c>
      <c r="T35" s="30">
        <f t="shared" si="21"/>
        <v>0.05</v>
      </c>
      <c r="U35" s="30">
        <f t="shared" si="21"/>
        <v>0.05</v>
      </c>
      <c r="V35" s="30">
        <f t="shared" si="21"/>
        <v>0.05</v>
      </c>
      <c r="W35" s="30">
        <f t="shared" si="21"/>
        <v>0.05</v>
      </c>
      <c r="X35" s="30">
        <f t="shared" si="21"/>
        <v>0</v>
      </c>
      <c r="Y35" s="30">
        <f t="shared" si="21"/>
        <v>0</v>
      </c>
      <c r="Z35" s="30">
        <f t="shared" si="21"/>
        <v>0</v>
      </c>
      <c r="AA35" s="30">
        <f t="shared" si="21"/>
        <v>0</v>
      </c>
      <c r="AB35" s="30">
        <f t="shared" si="21"/>
        <v>0</v>
      </c>
      <c r="AC35" s="30">
        <f t="shared" si="21"/>
        <v>0</v>
      </c>
      <c r="AD35" s="30">
        <f t="shared" si="21"/>
        <v>0</v>
      </c>
      <c r="AE35" s="30">
        <f t="shared" si="21"/>
        <v>0</v>
      </c>
      <c r="AF35" s="30">
        <f t="shared" si="21"/>
        <v>0</v>
      </c>
      <c r="AG35" s="30">
        <f t="shared" si="21"/>
        <v>0</v>
      </c>
      <c r="AH35" s="30">
        <f t="shared" si="21"/>
        <v>0</v>
      </c>
    </row>
    <row r="36" spans="3:34" s="7" customFormat="1" x14ac:dyDescent="0.25">
      <c r="C36" s="7" t="str">
        <f t="shared" si="15"/>
        <v>Vehicle sales</v>
      </c>
      <c r="J36" s="31">
        <f t="shared" si="16"/>
        <v>3.6285984617545397E-2</v>
      </c>
      <c r="K36" s="31">
        <f t="shared" si="16"/>
        <v>6.5997408361757604E-3</v>
      </c>
      <c r="L36" s="31">
        <f t="shared" si="16"/>
        <v>3.6622123313718724E-3</v>
      </c>
      <c r="N36" s="31">
        <f t="shared" ref="N36:AH36" si="22">N64/M64-1</f>
        <v>5.0000000000000044E-2</v>
      </c>
      <c r="O36" s="31">
        <f t="shared" si="22"/>
        <v>5.0000000000000044E-2</v>
      </c>
      <c r="P36" s="31">
        <f t="shared" si="22"/>
        <v>5.0000000000000044E-2</v>
      </c>
      <c r="Q36" s="31">
        <f t="shared" si="22"/>
        <v>5.0000000000000044E-2</v>
      </c>
      <c r="R36" s="31">
        <f t="shared" si="22"/>
        <v>5.0000000000000266E-2</v>
      </c>
      <c r="S36" s="31">
        <f t="shared" si="22"/>
        <v>5.0000000000000044E-2</v>
      </c>
      <c r="T36" s="31">
        <f t="shared" si="22"/>
        <v>5.0000000000000044E-2</v>
      </c>
      <c r="U36" s="31">
        <f t="shared" si="22"/>
        <v>5.0000000000000044E-2</v>
      </c>
      <c r="V36" s="31">
        <f t="shared" si="22"/>
        <v>4.9999999999999822E-2</v>
      </c>
      <c r="W36" s="31">
        <f t="shared" si="22"/>
        <v>5.0000000000000044E-2</v>
      </c>
      <c r="X36" s="31">
        <f t="shared" si="22"/>
        <v>-1</v>
      </c>
      <c r="Y36" s="31" t="e">
        <f t="shared" si="22"/>
        <v>#DIV/0!</v>
      </c>
      <c r="Z36" s="31" t="e">
        <f t="shared" si="22"/>
        <v>#DIV/0!</v>
      </c>
      <c r="AA36" s="31" t="e">
        <f t="shared" si="22"/>
        <v>#DIV/0!</v>
      </c>
      <c r="AB36" s="31" t="e">
        <f t="shared" si="22"/>
        <v>#DIV/0!</v>
      </c>
      <c r="AC36" s="31" t="e">
        <f t="shared" si="22"/>
        <v>#DIV/0!</v>
      </c>
      <c r="AD36" s="31" t="e">
        <f t="shared" si="22"/>
        <v>#DIV/0!</v>
      </c>
      <c r="AE36" s="31" t="e">
        <f t="shared" si="22"/>
        <v>#DIV/0!</v>
      </c>
      <c r="AF36" s="31" t="e">
        <f t="shared" si="22"/>
        <v>#DIV/0!</v>
      </c>
      <c r="AG36" s="31" t="e">
        <f t="shared" si="22"/>
        <v>#DIV/0!</v>
      </c>
      <c r="AH36" s="31" t="e">
        <f t="shared" si="22"/>
        <v>#DIV/0!</v>
      </c>
    </row>
    <row r="37" spans="3:34" s="7" customFormat="1" x14ac:dyDescent="0.25">
      <c r="C37" s="7" t="str">
        <f t="shared" si="15"/>
        <v>Total service revenues and vehicle sales</v>
      </c>
      <c r="J37" s="31">
        <f t="shared" si="16"/>
        <v>0.10528572338536057</v>
      </c>
      <c r="K37" s="31">
        <f t="shared" si="16"/>
        <v>9.492267512387853E-2</v>
      </c>
      <c r="L37" s="31">
        <f t="shared" si="16"/>
        <v>9.6802486202515414E-2</v>
      </c>
      <c r="N37" s="31">
        <f t="shared" ref="N37:AH37" si="23">N65/M65-1</f>
        <v>6.3365413737217491E-2</v>
      </c>
      <c r="O37" s="31">
        <f t="shared" si="23"/>
        <v>6.1799385501458248E-2</v>
      </c>
      <c r="P37" s="31">
        <f t="shared" si="23"/>
        <v>6.0338531671809692E-2</v>
      </c>
      <c r="Q37" s="31">
        <f t="shared" si="23"/>
        <v>5.8972492658440956E-2</v>
      </c>
      <c r="R37" s="31">
        <f t="shared" si="23"/>
        <v>5.7692259678628455E-2</v>
      </c>
      <c r="S37" s="31">
        <f t="shared" si="23"/>
        <v>5.6489960703948405E-2</v>
      </c>
      <c r="T37" s="31">
        <f t="shared" si="23"/>
        <v>5.5358685959065124E-2</v>
      </c>
      <c r="U37" s="31">
        <f t="shared" si="23"/>
        <v>5.4292344693687156E-2</v>
      </c>
      <c r="V37" s="31">
        <f t="shared" si="23"/>
        <v>5.3285546872716472E-2</v>
      </c>
      <c r="W37" s="31">
        <f t="shared" si="23"/>
        <v>5.2333504864324976E-2</v>
      </c>
      <c r="X37" s="31">
        <f t="shared" si="23"/>
        <v>-1</v>
      </c>
      <c r="Y37" s="31" t="e">
        <f t="shared" si="23"/>
        <v>#DIV/0!</v>
      </c>
      <c r="Z37" s="31" t="e">
        <f t="shared" si="23"/>
        <v>#DIV/0!</v>
      </c>
      <c r="AA37" s="31" t="e">
        <f t="shared" si="23"/>
        <v>#DIV/0!</v>
      </c>
      <c r="AB37" s="31" t="e">
        <f t="shared" si="23"/>
        <v>#DIV/0!</v>
      </c>
      <c r="AC37" s="31" t="e">
        <f t="shared" si="23"/>
        <v>#DIV/0!</v>
      </c>
      <c r="AD37" s="31" t="e">
        <f t="shared" si="23"/>
        <v>#DIV/0!</v>
      </c>
      <c r="AE37" s="31" t="e">
        <f t="shared" si="23"/>
        <v>#DIV/0!</v>
      </c>
      <c r="AF37" s="31" t="e">
        <f t="shared" si="23"/>
        <v>#DIV/0!</v>
      </c>
      <c r="AG37" s="31" t="e">
        <f t="shared" si="23"/>
        <v>#DIV/0!</v>
      </c>
      <c r="AH37" s="31" t="e">
        <f t="shared" si="23"/>
        <v>#DIV/0!</v>
      </c>
    </row>
    <row r="38" spans="3:34" s="7" customFormat="1" x14ac:dyDescent="0.25">
      <c r="J38" s="31"/>
      <c r="K38" s="31"/>
      <c r="L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</row>
    <row r="39" spans="3:34" s="7" customFormat="1" x14ac:dyDescent="0.25">
      <c r="C39" s="77" t="s">
        <v>1782</v>
      </c>
      <c r="D39" s="77"/>
      <c r="E39" s="77"/>
      <c r="F39" s="78">
        <f>((L65/I65)^(1/3))-1</f>
        <v>9.8994398401001105E-2</v>
      </c>
      <c r="J39" s="31"/>
      <c r="K39" s="31"/>
      <c r="L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0" spans="3:34" s="7" customFormat="1" x14ac:dyDescent="0.25">
      <c r="C40" s="77" t="s">
        <v>1783</v>
      </c>
      <c r="D40" s="77"/>
      <c r="E40" s="77"/>
      <c r="F40" s="78">
        <f>((W65/M65)^(1/10))-1</f>
        <v>5.73869809313583E-2</v>
      </c>
      <c r="J40" s="31"/>
      <c r="K40" s="31"/>
      <c r="L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</row>
    <row r="42" spans="3:34" x14ac:dyDescent="0.25">
      <c r="C42" s="28" t="str">
        <f>C66</f>
        <v>Operating expenses:</v>
      </c>
    </row>
    <row r="43" spans="3:34" s="70" customFormat="1" x14ac:dyDescent="0.25">
      <c r="C43" s="70" t="str">
        <f>C67</f>
        <v>Facility operations</v>
      </c>
      <c r="I43" s="71">
        <f t="shared" ref="I43:L46" si="24">I67/I$65</f>
        <v>-0.37404357310547709</v>
      </c>
      <c r="J43" s="71">
        <f t="shared" si="24"/>
        <v>-0.39230441620894385</v>
      </c>
      <c r="K43" s="71">
        <f t="shared" si="24"/>
        <v>-0.40362413062806729</v>
      </c>
      <c r="L43" s="71">
        <f t="shared" si="24"/>
        <v>-0.41840662213861196</v>
      </c>
      <c r="M43" s="72">
        <f>L43</f>
        <v>-0.41840662213861196</v>
      </c>
      <c r="N43" s="74">
        <f t="shared" ref="N43:AH43" si="25">M43-1%</f>
        <v>-0.42840662213861197</v>
      </c>
      <c r="O43" s="72">
        <f t="shared" si="25"/>
        <v>-0.43840662213861198</v>
      </c>
      <c r="P43" s="72">
        <f t="shared" si="25"/>
        <v>-0.44840662213861199</v>
      </c>
      <c r="Q43" s="72">
        <f t="shared" si="25"/>
        <v>-0.458406622138612</v>
      </c>
      <c r="R43" s="72">
        <f t="shared" si="25"/>
        <v>-0.46840662213861201</v>
      </c>
      <c r="S43" s="72">
        <f t="shared" si="25"/>
        <v>-0.47840662213861201</v>
      </c>
      <c r="T43" s="72">
        <f t="shared" si="25"/>
        <v>-0.48840662213861202</v>
      </c>
      <c r="U43" s="72">
        <f t="shared" si="25"/>
        <v>-0.49840662213861203</v>
      </c>
      <c r="V43" s="72">
        <f t="shared" si="25"/>
        <v>-0.50840662213861199</v>
      </c>
      <c r="W43" s="72">
        <f t="shared" si="25"/>
        <v>-0.51840662213861199</v>
      </c>
      <c r="X43" s="72">
        <f t="shared" si="25"/>
        <v>-0.528406622138612</v>
      </c>
      <c r="Y43" s="72">
        <f t="shared" si="25"/>
        <v>-0.53840662213861201</v>
      </c>
      <c r="Z43" s="72">
        <f t="shared" si="25"/>
        <v>-0.54840662213861202</v>
      </c>
      <c r="AA43" s="72">
        <f t="shared" si="25"/>
        <v>-0.55840662213861203</v>
      </c>
      <c r="AB43" s="72">
        <f t="shared" si="25"/>
        <v>-0.56840662213861204</v>
      </c>
      <c r="AC43" s="72">
        <f t="shared" si="25"/>
        <v>-0.57840662213861205</v>
      </c>
      <c r="AD43" s="72">
        <f t="shared" si="25"/>
        <v>-0.58840662213861206</v>
      </c>
      <c r="AE43" s="72">
        <f t="shared" si="25"/>
        <v>-0.59840662213861207</v>
      </c>
      <c r="AF43" s="72">
        <f t="shared" si="25"/>
        <v>-0.60840662213861207</v>
      </c>
      <c r="AG43" s="72">
        <f t="shared" si="25"/>
        <v>-0.61840662213861208</v>
      </c>
      <c r="AH43" s="72">
        <f t="shared" si="25"/>
        <v>-0.62840662213861209</v>
      </c>
    </row>
    <row r="44" spans="3:34" x14ac:dyDescent="0.25">
      <c r="C44" s="28" t="str">
        <f>C68</f>
        <v>Cost of vehicle sales</v>
      </c>
      <c r="I44" s="29">
        <f t="shared" si="24"/>
        <v>-0.1671568710062295</v>
      </c>
      <c r="J44" s="29">
        <f t="shared" si="24"/>
        <v>-0.15880479170790782</v>
      </c>
      <c r="K44" s="29">
        <f t="shared" si="24"/>
        <v>-0.14621498231103824</v>
      </c>
      <c r="L44" s="29">
        <f t="shared" si="24"/>
        <v>-0.12976166343659659</v>
      </c>
      <c r="N44" s="73">
        <v>-0.14000000000000001</v>
      </c>
      <c r="O44" s="30">
        <f t="shared" ref="O44:AH44" si="26">N44</f>
        <v>-0.14000000000000001</v>
      </c>
      <c r="P44" s="30">
        <f t="shared" si="26"/>
        <v>-0.14000000000000001</v>
      </c>
      <c r="Q44" s="30">
        <f t="shared" si="26"/>
        <v>-0.14000000000000001</v>
      </c>
      <c r="R44" s="30">
        <f t="shared" si="26"/>
        <v>-0.14000000000000001</v>
      </c>
      <c r="S44" s="30">
        <f t="shared" si="26"/>
        <v>-0.14000000000000001</v>
      </c>
      <c r="T44" s="30">
        <f t="shared" si="26"/>
        <v>-0.14000000000000001</v>
      </c>
      <c r="U44" s="30">
        <f t="shared" si="26"/>
        <v>-0.14000000000000001</v>
      </c>
      <c r="V44" s="30">
        <f t="shared" si="26"/>
        <v>-0.14000000000000001</v>
      </c>
      <c r="W44" s="30">
        <f t="shared" si="26"/>
        <v>-0.14000000000000001</v>
      </c>
      <c r="X44" s="30">
        <f t="shared" si="26"/>
        <v>-0.14000000000000001</v>
      </c>
      <c r="Y44" s="30">
        <f t="shared" si="26"/>
        <v>-0.14000000000000001</v>
      </c>
      <c r="Z44" s="30">
        <f t="shared" si="26"/>
        <v>-0.14000000000000001</v>
      </c>
      <c r="AA44" s="30">
        <f t="shared" si="26"/>
        <v>-0.14000000000000001</v>
      </c>
      <c r="AB44" s="30">
        <f t="shared" si="26"/>
        <v>-0.14000000000000001</v>
      </c>
      <c r="AC44" s="30">
        <f t="shared" si="26"/>
        <v>-0.14000000000000001</v>
      </c>
      <c r="AD44" s="30">
        <f t="shared" si="26"/>
        <v>-0.14000000000000001</v>
      </c>
      <c r="AE44" s="30">
        <f t="shared" si="26"/>
        <v>-0.14000000000000001</v>
      </c>
      <c r="AF44" s="30">
        <f t="shared" si="26"/>
        <v>-0.14000000000000001</v>
      </c>
      <c r="AG44" s="30">
        <f t="shared" si="26"/>
        <v>-0.14000000000000001</v>
      </c>
      <c r="AH44" s="30">
        <f t="shared" si="26"/>
        <v>-0.14000000000000001</v>
      </c>
    </row>
    <row r="45" spans="3:34" x14ac:dyDescent="0.25">
      <c r="C45" s="28" t="str">
        <f>C69</f>
        <v>General and administrative</v>
      </c>
      <c r="I45" s="29">
        <f t="shared" si="24"/>
        <v>-6.6046620303628678E-2</v>
      </c>
      <c r="J45" s="29">
        <f t="shared" si="24"/>
        <v>-6.4716587440606294E-2</v>
      </c>
      <c r="K45" s="29">
        <f t="shared" si="24"/>
        <v>-7.9122729460258306E-2</v>
      </c>
      <c r="L45" s="29">
        <f t="shared" si="24"/>
        <v>-8.6708121743299602E-2</v>
      </c>
      <c r="N45" s="73">
        <f>L45</f>
        <v>-8.6708121743299602E-2</v>
      </c>
      <c r="O45" s="30">
        <f t="shared" ref="O45:AH45" si="27">N45</f>
        <v>-8.6708121743299602E-2</v>
      </c>
      <c r="P45" s="30">
        <f t="shared" si="27"/>
        <v>-8.6708121743299602E-2</v>
      </c>
      <c r="Q45" s="30">
        <f t="shared" si="27"/>
        <v>-8.6708121743299602E-2</v>
      </c>
      <c r="R45" s="30">
        <f t="shared" si="27"/>
        <v>-8.6708121743299602E-2</v>
      </c>
      <c r="S45" s="30">
        <f t="shared" si="27"/>
        <v>-8.6708121743299602E-2</v>
      </c>
      <c r="T45" s="30">
        <f t="shared" si="27"/>
        <v>-8.6708121743299602E-2</v>
      </c>
      <c r="U45" s="30">
        <f t="shared" si="27"/>
        <v>-8.6708121743299602E-2</v>
      </c>
      <c r="V45" s="30">
        <f t="shared" si="27"/>
        <v>-8.6708121743299602E-2</v>
      </c>
      <c r="W45" s="30">
        <f t="shared" si="27"/>
        <v>-8.6708121743299602E-2</v>
      </c>
      <c r="X45" s="30">
        <f t="shared" si="27"/>
        <v>-8.6708121743299602E-2</v>
      </c>
      <c r="Y45" s="30">
        <f t="shared" si="27"/>
        <v>-8.6708121743299602E-2</v>
      </c>
      <c r="Z45" s="30">
        <f t="shared" si="27"/>
        <v>-8.6708121743299602E-2</v>
      </c>
      <c r="AA45" s="30">
        <f t="shared" si="27"/>
        <v>-8.6708121743299602E-2</v>
      </c>
      <c r="AB45" s="30">
        <f t="shared" si="27"/>
        <v>-8.6708121743299602E-2</v>
      </c>
      <c r="AC45" s="30">
        <f t="shared" si="27"/>
        <v>-8.6708121743299602E-2</v>
      </c>
      <c r="AD45" s="30">
        <f t="shared" si="27"/>
        <v>-8.6708121743299602E-2</v>
      </c>
      <c r="AE45" s="30">
        <f t="shared" si="27"/>
        <v>-8.6708121743299602E-2</v>
      </c>
      <c r="AF45" s="30">
        <f t="shared" si="27"/>
        <v>-8.6708121743299602E-2</v>
      </c>
      <c r="AG45" s="30">
        <f t="shared" si="27"/>
        <v>-8.6708121743299602E-2</v>
      </c>
      <c r="AH45" s="30">
        <f t="shared" si="27"/>
        <v>-8.6708121743299602E-2</v>
      </c>
    </row>
    <row r="46" spans="3:34" s="7" customFormat="1" x14ac:dyDescent="0.25">
      <c r="C46" s="7" t="str">
        <f>C70</f>
        <v>Total operating expenses</v>
      </c>
      <c r="I46" s="31">
        <f t="shared" si="24"/>
        <v>-0.60724706441533527</v>
      </c>
      <c r="J46" s="31">
        <f t="shared" si="24"/>
        <v>-0.61582579535745796</v>
      </c>
      <c r="K46" s="31">
        <f t="shared" si="24"/>
        <v>-0.62896184239936381</v>
      </c>
      <c r="L46" s="31">
        <f t="shared" si="24"/>
        <v>-0.63487640731850814</v>
      </c>
      <c r="N46" s="31">
        <f t="shared" ref="N46:AH46" si="28">N70/N$65</f>
        <v>-0.6551147438819116</v>
      </c>
      <c r="O46" s="31">
        <f t="shared" si="28"/>
        <v>-0.6651147438819115</v>
      </c>
      <c r="P46" s="31">
        <f t="shared" si="28"/>
        <v>-0.67511474388191162</v>
      </c>
      <c r="Q46" s="31">
        <f t="shared" si="28"/>
        <v>-0.68511474388191163</v>
      </c>
      <c r="R46" s="31">
        <f t="shared" si="28"/>
        <v>-0.69511474388191163</v>
      </c>
      <c r="S46" s="31">
        <f t="shared" si="28"/>
        <v>-0.70511474388191175</v>
      </c>
      <c r="T46" s="31">
        <f t="shared" si="28"/>
        <v>-0.71511474388191165</v>
      </c>
      <c r="U46" s="31">
        <f t="shared" si="28"/>
        <v>-0.72511474388191166</v>
      </c>
      <c r="V46" s="31">
        <f t="shared" si="28"/>
        <v>-0.73511474388191167</v>
      </c>
      <c r="W46" s="31">
        <f t="shared" si="28"/>
        <v>-0.74511474388191157</v>
      </c>
      <c r="X46" s="31" t="e">
        <f t="shared" si="28"/>
        <v>#DIV/0!</v>
      </c>
      <c r="Y46" s="31" t="e">
        <f t="shared" si="28"/>
        <v>#DIV/0!</v>
      </c>
      <c r="Z46" s="31" t="e">
        <f t="shared" si="28"/>
        <v>#DIV/0!</v>
      </c>
      <c r="AA46" s="31" t="e">
        <f t="shared" si="28"/>
        <v>#DIV/0!</v>
      </c>
      <c r="AB46" s="31" t="e">
        <f t="shared" si="28"/>
        <v>#DIV/0!</v>
      </c>
      <c r="AC46" s="31" t="e">
        <f t="shared" si="28"/>
        <v>#DIV/0!</v>
      </c>
      <c r="AD46" s="31" t="e">
        <f t="shared" si="28"/>
        <v>#DIV/0!</v>
      </c>
      <c r="AE46" s="31" t="e">
        <f t="shared" si="28"/>
        <v>#DIV/0!</v>
      </c>
      <c r="AF46" s="31" t="e">
        <f t="shared" si="28"/>
        <v>#DIV/0!</v>
      </c>
      <c r="AG46" s="31" t="e">
        <f t="shared" si="28"/>
        <v>#DIV/0!</v>
      </c>
      <c r="AH46" s="31" t="e">
        <f t="shared" si="28"/>
        <v>#DIV/0!</v>
      </c>
    </row>
    <row r="48" spans="3:34" x14ac:dyDescent="0.25">
      <c r="C48" s="28" t="s">
        <v>387</v>
      </c>
      <c r="I48" s="29">
        <f>I77/I76</f>
        <v>-0.1870489218869551</v>
      </c>
      <c r="J48" s="29">
        <f>J77/J76</f>
        <v>-0.20368094765068892</v>
      </c>
      <c r="K48" s="29">
        <f>K77/K76</f>
        <v>-0.20544371547666193</v>
      </c>
      <c r="L48" s="29">
        <f>L77/L76</f>
        <v>-0.1831723360806001</v>
      </c>
      <c r="N48" s="73">
        <f>AVERAGE(I48:L48)</f>
        <v>-0.19483648027372652</v>
      </c>
      <c r="O48" s="30">
        <f t="shared" ref="O48:AH48" si="29">N48</f>
        <v>-0.19483648027372652</v>
      </c>
      <c r="P48" s="30">
        <f t="shared" si="29"/>
        <v>-0.19483648027372652</v>
      </c>
      <c r="Q48" s="30">
        <f t="shared" si="29"/>
        <v>-0.19483648027372652</v>
      </c>
      <c r="R48" s="30">
        <f t="shared" si="29"/>
        <v>-0.19483648027372652</v>
      </c>
      <c r="S48" s="30">
        <f t="shared" si="29"/>
        <v>-0.19483648027372652</v>
      </c>
      <c r="T48" s="30">
        <f t="shared" si="29"/>
        <v>-0.19483648027372652</v>
      </c>
      <c r="U48" s="30">
        <f t="shared" si="29"/>
        <v>-0.19483648027372652</v>
      </c>
      <c r="V48" s="30">
        <f t="shared" si="29"/>
        <v>-0.19483648027372652</v>
      </c>
      <c r="W48" s="30">
        <f t="shared" si="29"/>
        <v>-0.19483648027372652</v>
      </c>
      <c r="X48" s="30">
        <f t="shared" si="29"/>
        <v>-0.19483648027372652</v>
      </c>
      <c r="Y48" s="30">
        <f t="shared" si="29"/>
        <v>-0.19483648027372652</v>
      </c>
      <c r="Z48" s="30">
        <f t="shared" si="29"/>
        <v>-0.19483648027372652</v>
      </c>
      <c r="AA48" s="30">
        <f t="shared" si="29"/>
        <v>-0.19483648027372652</v>
      </c>
      <c r="AB48" s="30">
        <f t="shared" si="29"/>
        <v>-0.19483648027372652</v>
      </c>
      <c r="AC48" s="30">
        <f t="shared" si="29"/>
        <v>-0.19483648027372652</v>
      </c>
      <c r="AD48" s="30">
        <f t="shared" si="29"/>
        <v>-0.19483648027372652</v>
      </c>
      <c r="AE48" s="30">
        <f t="shared" si="29"/>
        <v>-0.19483648027372652</v>
      </c>
      <c r="AF48" s="30">
        <f t="shared" si="29"/>
        <v>-0.19483648027372652</v>
      </c>
      <c r="AG48" s="30">
        <f t="shared" si="29"/>
        <v>-0.19483648027372652</v>
      </c>
      <c r="AH48" s="30">
        <f t="shared" si="29"/>
        <v>-0.19483648027372652</v>
      </c>
    </row>
    <row r="50" spans="3:34" x14ac:dyDescent="0.25">
      <c r="C50" s="28" t="s">
        <v>1788</v>
      </c>
      <c r="I50" s="29">
        <f t="shared" ref="I50:L51" si="30">I59/I$61</f>
        <v>0.88788274962846647</v>
      </c>
      <c r="J50" s="29">
        <f t="shared" si="30"/>
        <v>0.88853260407338297</v>
      </c>
      <c r="K50" s="29">
        <f t="shared" si="30"/>
        <v>0.87787145303484804</v>
      </c>
      <c r="L50" s="29">
        <f t="shared" si="30"/>
        <v>0.86970318963922855</v>
      </c>
      <c r="N50" s="73">
        <f>L50</f>
        <v>0.86970318963922855</v>
      </c>
      <c r="O50" s="30">
        <f>N50-0.5%</f>
        <v>0.86470318963922854</v>
      </c>
      <c r="P50" s="30">
        <f t="shared" ref="P50:W50" si="31">O50-0.5%</f>
        <v>0.85970318963922854</v>
      </c>
      <c r="Q50" s="30">
        <f t="shared" si="31"/>
        <v>0.85470318963922853</v>
      </c>
      <c r="R50" s="30">
        <f t="shared" si="31"/>
        <v>0.84970318963922853</v>
      </c>
      <c r="S50" s="30">
        <f t="shared" si="31"/>
        <v>0.84470318963922852</v>
      </c>
      <c r="T50" s="30">
        <f t="shared" si="31"/>
        <v>0.83970318963922852</v>
      </c>
      <c r="U50" s="30">
        <f t="shared" si="31"/>
        <v>0.83470318963922852</v>
      </c>
      <c r="V50" s="30">
        <f t="shared" si="31"/>
        <v>0.82970318963922851</v>
      </c>
      <c r="W50" s="30">
        <f t="shared" si="31"/>
        <v>0.82470318963922851</v>
      </c>
      <c r="X50" s="30">
        <f t="shared" ref="X50:AH50" si="32">W50</f>
        <v>0.82470318963922851</v>
      </c>
      <c r="Y50" s="30">
        <f t="shared" si="32"/>
        <v>0.82470318963922851</v>
      </c>
      <c r="Z50" s="30">
        <f t="shared" si="32"/>
        <v>0.82470318963922851</v>
      </c>
      <c r="AA50" s="30">
        <f t="shared" si="32"/>
        <v>0.82470318963922851</v>
      </c>
      <c r="AB50" s="30">
        <f t="shared" si="32"/>
        <v>0.82470318963922851</v>
      </c>
      <c r="AC50" s="30">
        <f t="shared" si="32"/>
        <v>0.82470318963922851</v>
      </c>
      <c r="AD50" s="30">
        <f t="shared" si="32"/>
        <v>0.82470318963922851</v>
      </c>
      <c r="AE50" s="30">
        <f t="shared" si="32"/>
        <v>0.82470318963922851</v>
      </c>
      <c r="AF50" s="30">
        <f t="shared" si="32"/>
        <v>0.82470318963922851</v>
      </c>
      <c r="AG50" s="30">
        <f t="shared" si="32"/>
        <v>0.82470318963922851</v>
      </c>
      <c r="AH50" s="30">
        <f t="shared" si="32"/>
        <v>0.82470318963922851</v>
      </c>
    </row>
    <row r="51" spans="3:34" x14ac:dyDescent="0.25">
      <c r="C51" s="28" t="s">
        <v>1789</v>
      </c>
      <c r="I51" s="29">
        <f t="shared" si="30"/>
        <v>0.11211725037153353</v>
      </c>
      <c r="J51" s="29">
        <f t="shared" si="30"/>
        <v>0.11146739592661707</v>
      </c>
      <c r="K51" s="29">
        <f t="shared" si="30"/>
        <v>0.12212854696515195</v>
      </c>
      <c r="L51" s="29">
        <f t="shared" si="30"/>
        <v>0.13029681036077145</v>
      </c>
      <c r="N51" s="73">
        <f>L51</f>
        <v>0.13029681036077145</v>
      </c>
      <c r="O51" s="30">
        <f>N51+0.5%</f>
        <v>0.13529681036077146</v>
      </c>
      <c r="P51" s="30">
        <f t="shared" ref="P51:W51" si="33">O51+0.5%</f>
        <v>0.14029681036077146</v>
      </c>
      <c r="Q51" s="30">
        <f t="shared" si="33"/>
        <v>0.14529681036077147</v>
      </c>
      <c r="R51" s="30">
        <f t="shared" si="33"/>
        <v>0.15029681036077147</v>
      </c>
      <c r="S51" s="30">
        <f t="shared" si="33"/>
        <v>0.15529681036077148</v>
      </c>
      <c r="T51" s="30">
        <f t="shared" si="33"/>
        <v>0.16029681036077148</v>
      </c>
      <c r="U51" s="30">
        <f t="shared" si="33"/>
        <v>0.16529681036077148</v>
      </c>
      <c r="V51" s="30">
        <f t="shared" si="33"/>
        <v>0.17029681036077149</v>
      </c>
      <c r="W51" s="30">
        <f t="shared" si="33"/>
        <v>0.17529681036077149</v>
      </c>
      <c r="X51" s="30">
        <f t="shared" ref="X51:AH51" si="34">W51</f>
        <v>0.17529681036077149</v>
      </c>
      <c r="Y51" s="30">
        <f t="shared" si="34"/>
        <v>0.17529681036077149</v>
      </c>
      <c r="Z51" s="30">
        <f t="shared" si="34"/>
        <v>0.17529681036077149</v>
      </c>
      <c r="AA51" s="30">
        <f t="shared" si="34"/>
        <v>0.17529681036077149</v>
      </c>
      <c r="AB51" s="30">
        <f t="shared" si="34"/>
        <v>0.17529681036077149</v>
      </c>
      <c r="AC51" s="30">
        <f t="shared" si="34"/>
        <v>0.17529681036077149</v>
      </c>
      <c r="AD51" s="30">
        <f t="shared" si="34"/>
        <v>0.17529681036077149</v>
      </c>
      <c r="AE51" s="30">
        <f t="shared" si="34"/>
        <v>0.17529681036077149</v>
      </c>
      <c r="AF51" s="30">
        <f t="shared" si="34"/>
        <v>0.17529681036077149</v>
      </c>
      <c r="AG51" s="30">
        <f t="shared" si="34"/>
        <v>0.17529681036077149</v>
      </c>
      <c r="AH51" s="30">
        <f t="shared" si="34"/>
        <v>0.17529681036077149</v>
      </c>
    </row>
    <row r="53" spans="3:34" x14ac:dyDescent="0.25">
      <c r="C53" s="97" t="s">
        <v>1799</v>
      </c>
      <c r="I53" s="103">
        <f>I71/I$65</f>
        <v>0.39275293558466473</v>
      </c>
      <c r="J53" s="103">
        <f t="shared" ref="J53:W53" si="35">J71/J$65</f>
        <v>0.38417420464254204</v>
      </c>
      <c r="K53" s="103">
        <f t="shared" si="35"/>
        <v>0.37103815760063613</v>
      </c>
      <c r="L53" s="103">
        <f t="shared" si="35"/>
        <v>0.36512359268149186</v>
      </c>
      <c r="M53" s="103">
        <f>M71/M$65</f>
        <v>0.36512359268149186</v>
      </c>
      <c r="N53" s="103">
        <f t="shared" si="35"/>
        <v>0.3448852561180884</v>
      </c>
      <c r="O53" s="103">
        <f t="shared" si="35"/>
        <v>0.33488525611808845</v>
      </c>
      <c r="P53" s="103">
        <f t="shared" si="35"/>
        <v>0.32488525611808844</v>
      </c>
      <c r="Q53" s="103">
        <f t="shared" si="35"/>
        <v>0.31488525611808843</v>
      </c>
      <c r="R53" s="103">
        <f t="shared" si="35"/>
        <v>0.30488525611808837</v>
      </c>
      <c r="S53" s="103">
        <f t="shared" si="35"/>
        <v>0.29488525611808825</v>
      </c>
      <c r="T53" s="103">
        <f t="shared" si="35"/>
        <v>0.2848852561180884</v>
      </c>
      <c r="U53" s="103">
        <f t="shared" si="35"/>
        <v>0.27488525611808834</v>
      </c>
      <c r="V53" s="103">
        <f t="shared" si="35"/>
        <v>0.26488525611808833</v>
      </c>
      <c r="W53" s="103">
        <f t="shared" si="35"/>
        <v>0.25488525611808843</v>
      </c>
    </row>
    <row r="54" spans="3:34" x14ac:dyDescent="0.25">
      <c r="C54" s="97" t="s">
        <v>1800</v>
      </c>
      <c r="I54" s="103">
        <f>I76/I$65</f>
        <v>0.38302892296055807</v>
      </c>
      <c r="J54" s="103">
        <f t="shared" ref="J54:W54" si="36">J76/J$65</f>
        <v>0.40168517112467239</v>
      </c>
      <c r="K54" s="103">
        <f t="shared" si="36"/>
        <v>0.40469025965918332</v>
      </c>
      <c r="L54" s="103">
        <f t="shared" si="36"/>
        <v>0.40791868572946</v>
      </c>
      <c r="M54" s="103">
        <f t="shared" si="36"/>
        <v>0.36512359268149186</v>
      </c>
      <c r="N54" s="103">
        <f t="shared" si="36"/>
        <v>0.3448852561180884</v>
      </c>
      <c r="O54" s="103">
        <f t="shared" si="36"/>
        <v>0.33488525611808845</v>
      </c>
      <c r="P54" s="103">
        <f t="shared" si="36"/>
        <v>0.32488525611808844</v>
      </c>
      <c r="Q54" s="103">
        <f t="shared" si="36"/>
        <v>0.31488525611808843</v>
      </c>
      <c r="R54" s="103">
        <f t="shared" si="36"/>
        <v>0.30488525611808837</v>
      </c>
      <c r="S54" s="103">
        <f t="shared" si="36"/>
        <v>0.29488525611808825</v>
      </c>
      <c r="T54" s="103">
        <f t="shared" si="36"/>
        <v>0.2848852561180884</v>
      </c>
      <c r="U54" s="103">
        <f t="shared" si="36"/>
        <v>0.27488525611808834</v>
      </c>
      <c r="V54" s="103">
        <f t="shared" si="36"/>
        <v>0.26488525611808833</v>
      </c>
      <c r="W54" s="103">
        <f t="shared" si="36"/>
        <v>0.25488525611808843</v>
      </c>
    </row>
    <row r="55" spans="3:34" x14ac:dyDescent="0.25">
      <c r="C55" s="97" t="s">
        <v>1801</v>
      </c>
      <c r="I55" s="103">
        <f>I78/I$65</f>
        <v>0.31138377586926413</v>
      </c>
      <c r="J55" s="103">
        <f t="shared" ref="J55:W55" si="37">J78/J$65</f>
        <v>0.31986955481276996</v>
      </c>
      <c r="K55" s="103">
        <f t="shared" si="37"/>
        <v>0.32154918909758562</v>
      </c>
      <c r="L55" s="103">
        <f t="shared" si="37"/>
        <v>0.33319926713346665</v>
      </c>
      <c r="M55" s="103">
        <f t="shared" si="37"/>
        <v>0.29040417408549851</v>
      </c>
      <c r="N55" s="103">
        <f t="shared" si="37"/>
        <v>0.27768902671773738</v>
      </c>
      <c r="O55" s="103">
        <f t="shared" si="37"/>
        <v>0.26963739152047467</v>
      </c>
      <c r="P55" s="103">
        <f t="shared" si="37"/>
        <v>0.2615857563232119</v>
      </c>
      <c r="Q55" s="103">
        <f t="shared" si="37"/>
        <v>0.25353412112594914</v>
      </c>
      <c r="R55" s="103">
        <f t="shared" si="37"/>
        <v>0.24548248592868638</v>
      </c>
      <c r="S55" s="103">
        <f t="shared" si="37"/>
        <v>0.23743085073142356</v>
      </c>
      <c r="T55" s="103">
        <f t="shared" si="37"/>
        <v>0.22937921553416094</v>
      </c>
      <c r="U55" s="103">
        <f t="shared" si="37"/>
        <v>0.22132758033689814</v>
      </c>
      <c r="V55" s="103">
        <f t="shared" si="37"/>
        <v>0.21327594513963544</v>
      </c>
      <c r="W55" s="103">
        <f t="shared" si="37"/>
        <v>0.20522430994237278</v>
      </c>
    </row>
    <row r="58" spans="3:34" x14ac:dyDescent="0.25">
      <c r="C58" s="28" t="s">
        <v>143</v>
      </c>
      <c r="I58" s="10" t="s">
        <v>0</v>
      </c>
      <c r="J58" s="10" t="s">
        <v>0</v>
      </c>
      <c r="K58" s="10" t="s">
        <v>0</v>
      </c>
      <c r="L58" s="10" t="s">
        <v>0</v>
      </c>
      <c r="M58" s="10" t="s">
        <v>0</v>
      </c>
      <c r="N58" s="10" t="s">
        <v>0</v>
      </c>
      <c r="O58" s="10" t="s">
        <v>0</v>
      </c>
      <c r="P58" s="10" t="s">
        <v>0</v>
      </c>
      <c r="Q58" s="10" t="s">
        <v>0</v>
      </c>
      <c r="R58" s="10" t="s">
        <v>0</v>
      </c>
      <c r="S58" s="10" t="s">
        <v>0</v>
      </c>
      <c r="T58" s="10" t="s">
        <v>0</v>
      </c>
      <c r="U58" s="10" t="s">
        <v>0</v>
      </c>
      <c r="V58" s="10" t="s">
        <v>0</v>
      </c>
      <c r="W58" s="10" t="s">
        <v>0</v>
      </c>
      <c r="X58" s="10" t="s">
        <v>0</v>
      </c>
      <c r="Y58" s="10" t="s">
        <v>0</v>
      </c>
      <c r="Z58" s="10" t="s">
        <v>0</v>
      </c>
      <c r="AA58" s="10" t="s">
        <v>0</v>
      </c>
      <c r="AB58" s="10" t="s">
        <v>0</v>
      </c>
      <c r="AC58" s="10" t="s">
        <v>0</v>
      </c>
      <c r="AD58" s="10" t="s">
        <v>0</v>
      </c>
      <c r="AE58" s="10" t="s">
        <v>0</v>
      </c>
      <c r="AF58" s="10" t="s">
        <v>0</v>
      </c>
      <c r="AG58" s="10" t="s">
        <v>0</v>
      </c>
      <c r="AH58" s="10" t="s">
        <v>0</v>
      </c>
    </row>
    <row r="59" spans="3:34" x14ac:dyDescent="0.25">
      <c r="D59" s="28" t="s">
        <v>6</v>
      </c>
      <c r="I59" s="17">
        <v>2533165</v>
      </c>
      <c r="J59" s="17">
        <v>2841641</v>
      </c>
      <c r="K59" s="17">
        <v>3126102</v>
      </c>
      <c r="L59" s="17">
        <v>3451558</v>
      </c>
      <c r="M59" s="32">
        <f>L59</f>
        <v>3451558</v>
      </c>
      <c r="N59" s="32">
        <f t="shared" ref="N59:W59" si="38">N50*N$61</f>
        <v>3678151.874720715</v>
      </c>
      <c r="O59" s="32">
        <f t="shared" si="38"/>
        <v>3890273.2341306722</v>
      </c>
      <c r="P59" s="32">
        <f t="shared" si="38"/>
        <v>4107801.1429843488</v>
      </c>
      <c r="Q59" s="32">
        <f t="shared" si="38"/>
        <v>4330770.3560378281</v>
      </c>
      <c r="R59" s="32">
        <f t="shared" si="38"/>
        <v>4559214.5860117003</v>
      </c>
      <c r="S59" s="32">
        <f t="shared" si="38"/>
        <v>4793166.4605617486</v>
      </c>
      <c r="T59" s="32">
        <f t="shared" si="38"/>
        <v>5032657.4782386879</v>
      </c>
      <c r="U59" s="32">
        <f t="shared" si="38"/>
        <v>5277717.9634177256</v>
      </c>
      <c r="V59" s="32">
        <f t="shared" si="38"/>
        <v>5528377.0201785546</v>
      </c>
      <c r="W59" s="32">
        <f t="shared" si="38"/>
        <v>5784662.4851159658</v>
      </c>
      <c r="X59" s="32">
        <f t="shared" ref="X59:AH59" si="39">X50*X$61</f>
        <v>0</v>
      </c>
      <c r="Y59" s="32">
        <f t="shared" si="39"/>
        <v>0</v>
      </c>
      <c r="Z59" s="32">
        <f t="shared" si="39"/>
        <v>0</v>
      </c>
      <c r="AA59" s="32">
        <f t="shared" si="39"/>
        <v>0</v>
      </c>
      <c r="AB59" s="32">
        <f t="shared" si="39"/>
        <v>0</v>
      </c>
      <c r="AC59" s="32">
        <f t="shared" si="39"/>
        <v>0</v>
      </c>
      <c r="AD59" s="32">
        <f t="shared" si="39"/>
        <v>0</v>
      </c>
      <c r="AE59" s="32">
        <f t="shared" si="39"/>
        <v>0</v>
      </c>
      <c r="AF59" s="32">
        <f t="shared" si="39"/>
        <v>0</v>
      </c>
      <c r="AG59" s="32">
        <f t="shared" si="39"/>
        <v>0</v>
      </c>
      <c r="AH59" s="32">
        <f t="shared" si="39"/>
        <v>0</v>
      </c>
    </row>
    <row r="60" spans="3:34" x14ac:dyDescent="0.25">
      <c r="D60" s="28" t="s">
        <v>35</v>
      </c>
      <c r="I60" s="17">
        <v>319875</v>
      </c>
      <c r="J60" s="17">
        <v>356487</v>
      </c>
      <c r="K60" s="17">
        <v>434900</v>
      </c>
      <c r="L60" s="17">
        <v>517104</v>
      </c>
      <c r="M60" s="32">
        <f t="shared" ref="M60:M79" si="40">L60</f>
        <v>517104</v>
      </c>
      <c r="N60" s="32">
        <f t="shared" ref="N60:W60" si="41">N51*N$61</f>
        <v>551051.74156875827</v>
      </c>
      <c r="O60" s="32">
        <f t="shared" si="41"/>
        <v>608696.21659353748</v>
      </c>
      <c r="P60" s="32">
        <f t="shared" si="41"/>
        <v>670360.89304133272</v>
      </c>
      <c r="Q60" s="32">
        <f t="shared" si="41"/>
        <v>736217.11813534389</v>
      </c>
      <c r="R60" s="32">
        <f t="shared" si="41"/>
        <v>806440.90593422938</v>
      </c>
      <c r="S60" s="32">
        <f t="shared" si="41"/>
        <v>881213.03670154791</v>
      </c>
      <c r="T60" s="32">
        <f t="shared" si="41"/>
        <v>960719.15809507098</v>
      </c>
      <c r="U60" s="32">
        <f t="shared" si="41"/>
        <v>1045149.8882060786</v>
      </c>
      <c r="V60" s="32">
        <f t="shared" si="41"/>
        <v>1134700.9204792404</v>
      </c>
      <c r="W60" s="32">
        <f t="shared" si="41"/>
        <v>1229573.1305441386</v>
      </c>
      <c r="X60" s="32">
        <f t="shared" ref="X60:AH60" si="42">X51*X$61</f>
        <v>0</v>
      </c>
      <c r="Y60" s="32">
        <f t="shared" si="42"/>
        <v>0</v>
      </c>
      <c r="Z60" s="32">
        <f t="shared" si="42"/>
        <v>0</v>
      </c>
      <c r="AA60" s="32">
        <f t="shared" si="42"/>
        <v>0</v>
      </c>
      <c r="AB60" s="32">
        <f t="shared" si="42"/>
        <v>0</v>
      </c>
      <c r="AC60" s="32">
        <f t="shared" si="42"/>
        <v>0</v>
      </c>
      <c r="AD60" s="32">
        <f t="shared" si="42"/>
        <v>0</v>
      </c>
      <c r="AE60" s="32">
        <f t="shared" si="42"/>
        <v>0</v>
      </c>
      <c r="AF60" s="32">
        <f t="shared" si="42"/>
        <v>0</v>
      </c>
      <c r="AG60" s="32">
        <f t="shared" si="42"/>
        <v>0</v>
      </c>
      <c r="AH60" s="32">
        <f t="shared" si="42"/>
        <v>0</v>
      </c>
    </row>
    <row r="61" spans="3:34" s="7" customFormat="1" x14ac:dyDescent="0.25">
      <c r="C61" s="7" t="s">
        <v>31</v>
      </c>
      <c r="E61" s="33"/>
      <c r="F61" s="33"/>
      <c r="G61" s="33"/>
      <c r="H61" s="33"/>
      <c r="I61" s="18">
        <f>SUM(I59:I60)</f>
        <v>2853040</v>
      </c>
      <c r="J61" s="18">
        <f t="shared" ref="J61:K61" si="43">SUM(J59:J60)</f>
        <v>3198128</v>
      </c>
      <c r="K61" s="18">
        <f t="shared" si="43"/>
        <v>3561002</v>
      </c>
      <c r="L61" s="18">
        <f>SUM(L59:L60)</f>
        <v>3968662</v>
      </c>
      <c r="M61" s="33">
        <f>SUM(M59:M60)</f>
        <v>3968662</v>
      </c>
      <c r="N61" s="33">
        <f t="shared" ref="N61:W61" si="44">N26*N24</f>
        <v>4229203.6162894731</v>
      </c>
      <c r="O61" s="33">
        <f t="shared" si="44"/>
        <v>4498969.4507242097</v>
      </c>
      <c r="P61" s="33">
        <f t="shared" si="44"/>
        <v>4778162.0360256815</v>
      </c>
      <c r="Q61" s="33">
        <f t="shared" si="44"/>
        <v>5066987.4741731724</v>
      </c>
      <c r="R61" s="33">
        <f t="shared" si="44"/>
        <v>5365655.4919459298</v>
      </c>
      <c r="S61" s="33">
        <f t="shared" si="44"/>
        <v>5674379.4972632965</v>
      </c>
      <c r="T61" s="33">
        <f t="shared" si="44"/>
        <v>5993376.6363337589</v>
      </c>
      <c r="U61" s="33">
        <f t="shared" si="44"/>
        <v>6322867.8516238043</v>
      </c>
      <c r="V61" s="33">
        <f t="shared" si="44"/>
        <v>6663077.9406577945</v>
      </c>
      <c r="W61" s="33">
        <f t="shared" si="44"/>
        <v>7014235.6156601049</v>
      </c>
      <c r="X61" s="33">
        <f t="shared" ref="X61:AH61" si="45">X26*X24</f>
        <v>0</v>
      </c>
      <c r="Y61" s="33">
        <f t="shared" si="45"/>
        <v>0</v>
      </c>
      <c r="Z61" s="33">
        <f t="shared" si="45"/>
        <v>0</v>
      </c>
      <c r="AA61" s="33">
        <f t="shared" si="45"/>
        <v>0</v>
      </c>
      <c r="AB61" s="33">
        <f t="shared" si="45"/>
        <v>0</v>
      </c>
      <c r="AC61" s="33">
        <f t="shared" si="45"/>
        <v>0</v>
      </c>
      <c r="AD61" s="33">
        <f t="shared" si="45"/>
        <v>0</v>
      </c>
      <c r="AE61" s="33">
        <f t="shared" si="45"/>
        <v>0</v>
      </c>
      <c r="AF61" s="33">
        <f t="shared" si="45"/>
        <v>0</v>
      </c>
      <c r="AG61" s="33">
        <f t="shared" si="45"/>
        <v>0</v>
      </c>
      <c r="AH61" s="33">
        <f t="shared" si="45"/>
        <v>0</v>
      </c>
    </row>
    <row r="62" spans="3:34" x14ac:dyDescent="0.25">
      <c r="D62" s="28" t="s">
        <v>6</v>
      </c>
      <c r="I62" s="17">
        <v>411985</v>
      </c>
      <c r="J62" s="17">
        <v>348007</v>
      </c>
      <c r="K62" s="17">
        <v>338633</v>
      </c>
      <c r="L62" s="17">
        <v>403546</v>
      </c>
      <c r="M62" s="32">
        <f t="shared" si="40"/>
        <v>403546</v>
      </c>
      <c r="N62" s="32">
        <f t="shared" ref="N62:W62" si="46">M62*(1+N34)*N10</f>
        <v>423723.30000000005</v>
      </c>
      <c r="O62" s="32">
        <f t="shared" si="46"/>
        <v>444909.46500000008</v>
      </c>
      <c r="P62" s="32">
        <f t="shared" si="46"/>
        <v>467154.93825000012</v>
      </c>
      <c r="Q62" s="32">
        <f t="shared" si="46"/>
        <v>490512.68516250013</v>
      </c>
      <c r="R62" s="32">
        <f t="shared" si="46"/>
        <v>515038.31942062516</v>
      </c>
      <c r="S62" s="32">
        <f t="shared" si="46"/>
        <v>540790.2353916564</v>
      </c>
      <c r="T62" s="32">
        <f t="shared" si="46"/>
        <v>567829.74716123927</v>
      </c>
      <c r="U62" s="32">
        <f t="shared" si="46"/>
        <v>596221.23451930122</v>
      </c>
      <c r="V62" s="32">
        <f t="shared" si="46"/>
        <v>626032.29624526633</v>
      </c>
      <c r="W62" s="32">
        <f t="shared" si="46"/>
        <v>657333.91105752962</v>
      </c>
      <c r="X62" s="32">
        <f t="shared" ref="X62:AH62" si="47">W62*(1+X34)*X10</f>
        <v>0</v>
      </c>
      <c r="Y62" s="32">
        <f t="shared" si="47"/>
        <v>0</v>
      </c>
      <c r="Z62" s="32">
        <f t="shared" si="47"/>
        <v>0</v>
      </c>
      <c r="AA62" s="32">
        <f t="shared" si="47"/>
        <v>0</v>
      </c>
      <c r="AB62" s="32">
        <f t="shared" si="47"/>
        <v>0</v>
      </c>
      <c r="AC62" s="32">
        <f t="shared" si="47"/>
        <v>0</v>
      </c>
      <c r="AD62" s="32">
        <f t="shared" si="47"/>
        <v>0</v>
      </c>
      <c r="AE62" s="32">
        <f t="shared" si="47"/>
        <v>0</v>
      </c>
      <c r="AF62" s="32">
        <f t="shared" si="47"/>
        <v>0</v>
      </c>
      <c r="AG62" s="32">
        <f t="shared" si="47"/>
        <v>0</v>
      </c>
      <c r="AH62" s="32">
        <f t="shared" si="47"/>
        <v>0</v>
      </c>
    </row>
    <row r="63" spans="3:34" x14ac:dyDescent="0.25">
      <c r="D63" s="28" t="s">
        <v>35</v>
      </c>
      <c r="I63" s="17">
        <v>235896</v>
      </c>
      <c r="J63" s="17">
        <v>323383</v>
      </c>
      <c r="K63" s="17">
        <v>337188</v>
      </c>
      <c r="L63" s="17">
        <v>274750</v>
      </c>
      <c r="M63" s="32">
        <f t="shared" si="40"/>
        <v>274750</v>
      </c>
      <c r="N63" s="32">
        <f t="shared" ref="N63:W63" si="48">M63*(1+N35)*N10</f>
        <v>288487.5</v>
      </c>
      <c r="O63" s="32">
        <f t="shared" si="48"/>
        <v>302911.875</v>
      </c>
      <c r="P63" s="32">
        <f t="shared" si="48"/>
        <v>318057.46875</v>
      </c>
      <c r="Q63" s="32">
        <f t="shared" si="48"/>
        <v>333960.34218750003</v>
      </c>
      <c r="R63" s="32">
        <f t="shared" si="48"/>
        <v>350658.35929687507</v>
      </c>
      <c r="S63" s="32">
        <f t="shared" si="48"/>
        <v>368191.27726171882</v>
      </c>
      <c r="T63" s="32">
        <f t="shared" si="48"/>
        <v>386600.84112480475</v>
      </c>
      <c r="U63" s="32">
        <f t="shared" si="48"/>
        <v>405930.88318104501</v>
      </c>
      <c r="V63" s="32">
        <f t="shared" si="48"/>
        <v>426227.42734009726</v>
      </c>
      <c r="W63" s="32">
        <f t="shared" si="48"/>
        <v>447538.79870710213</v>
      </c>
      <c r="X63" s="32">
        <f t="shared" ref="X63:AH63" si="49">W63*(1+X35)*X10</f>
        <v>0</v>
      </c>
      <c r="Y63" s="32">
        <f t="shared" si="49"/>
        <v>0</v>
      </c>
      <c r="Z63" s="32">
        <f t="shared" si="49"/>
        <v>0</v>
      </c>
      <c r="AA63" s="32">
        <f t="shared" si="49"/>
        <v>0</v>
      </c>
      <c r="AB63" s="32">
        <f t="shared" si="49"/>
        <v>0</v>
      </c>
      <c r="AC63" s="32">
        <f t="shared" si="49"/>
        <v>0</v>
      </c>
      <c r="AD63" s="32">
        <f t="shared" si="49"/>
        <v>0</v>
      </c>
      <c r="AE63" s="32">
        <f t="shared" si="49"/>
        <v>0</v>
      </c>
      <c r="AF63" s="32">
        <f t="shared" si="49"/>
        <v>0</v>
      </c>
      <c r="AG63" s="32">
        <f t="shared" si="49"/>
        <v>0</v>
      </c>
      <c r="AH63" s="32">
        <f t="shared" si="49"/>
        <v>0</v>
      </c>
    </row>
    <row r="64" spans="3:34" s="7" customFormat="1" x14ac:dyDescent="0.25">
      <c r="C64" s="7" t="s">
        <v>43</v>
      </c>
      <c r="I64" s="18">
        <f>SUM(I62:I63)</f>
        <v>647881</v>
      </c>
      <c r="J64" s="18">
        <f t="shared" ref="J64:K64" si="50">SUM(J62:J63)</f>
        <v>671390</v>
      </c>
      <c r="K64" s="18">
        <f t="shared" si="50"/>
        <v>675821</v>
      </c>
      <c r="L64" s="18">
        <f>SUM(L62:L63)</f>
        <v>678296</v>
      </c>
      <c r="M64" s="33">
        <f>SUM(M62:M63)</f>
        <v>678296</v>
      </c>
      <c r="N64" s="33">
        <f t="shared" ref="N64" si="51">SUM(N62:N63)</f>
        <v>712210.8</v>
      </c>
      <c r="O64" s="33">
        <f t="shared" ref="O64" si="52">SUM(O62:O63)</f>
        <v>747821.34000000008</v>
      </c>
      <c r="P64" s="33">
        <f t="shared" ref="P64" si="53">SUM(P62:P63)</f>
        <v>785212.40700000012</v>
      </c>
      <c r="Q64" s="33">
        <f t="shared" ref="Q64" si="54">SUM(Q62:Q63)</f>
        <v>824473.02735000011</v>
      </c>
      <c r="R64" s="33">
        <f t="shared" ref="R64" si="55">SUM(R62:R63)</f>
        <v>865696.6787175003</v>
      </c>
      <c r="S64" s="33">
        <f t="shared" ref="S64" si="56">SUM(S62:S63)</f>
        <v>908981.51265337528</v>
      </c>
      <c r="T64" s="33">
        <f t="shared" ref="T64" si="57">SUM(T62:T63)</f>
        <v>954430.58828604408</v>
      </c>
      <c r="U64" s="33">
        <f t="shared" ref="U64" si="58">SUM(U62:U63)</f>
        <v>1002152.1177003463</v>
      </c>
      <c r="V64" s="33">
        <f t="shared" ref="V64" si="59">SUM(V62:V63)</f>
        <v>1052259.7235853635</v>
      </c>
      <c r="W64" s="33">
        <f t="shared" ref="W64:AH64" si="60">SUM(W62:W63)</f>
        <v>1104872.7097646317</v>
      </c>
      <c r="X64" s="33">
        <f t="shared" si="60"/>
        <v>0</v>
      </c>
      <c r="Y64" s="33">
        <f t="shared" si="60"/>
        <v>0</v>
      </c>
      <c r="Z64" s="33">
        <f t="shared" si="60"/>
        <v>0</v>
      </c>
      <c r="AA64" s="33">
        <f t="shared" si="60"/>
        <v>0</v>
      </c>
      <c r="AB64" s="33">
        <f t="shared" si="60"/>
        <v>0</v>
      </c>
      <c r="AC64" s="33">
        <f t="shared" si="60"/>
        <v>0</v>
      </c>
      <c r="AD64" s="33">
        <f t="shared" si="60"/>
        <v>0</v>
      </c>
      <c r="AE64" s="33">
        <f t="shared" si="60"/>
        <v>0</v>
      </c>
      <c r="AF64" s="33">
        <f t="shared" si="60"/>
        <v>0</v>
      </c>
      <c r="AG64" s="33">
        <f t="shared" si="60"/>
        <v>0</v>
      </c>
      <c r="AH64" s="33">
        <f t="shared" si="60"/>
        <v>0</v>
      </c>
    </row>
    <row r="65" spans="3:34" s="7" customFormat="1" x14ac:dyDescent="0.25">
      <c r="C65" s="7" t="s">
        <v>144</v>
      </c>
      <c r="I65" s="18">
        <f>I61+I64</f>
        <v>3500921</v>
      </c>
      <c r="J65" s="18">
        <f t="shared" ref="J65:L65" si="61">J61+J64</f>
        <v>3869518</v>
      </c>
      <c r="K65" s="18">
        <f t="shared" si="61"/>
        <v>4236823</v>
      </c>
      <c r="L65" s="18">
        <f t="shared" si="61"/>
        <v>4646958</v>
      </c>
      <c r="M65" s="33">
        <f>M61+M64</f>
        <v>4646958</v>
      </c>
      <c r="N65" s="33">
        <f t="shared" ref="N65" si="62">N61+N64</f>
        <v>4941414.416289473</v>
      </c>
      <c r="O65" s="33">
        <f t="shared" ref="O65" si="63">O61+O64</f>
        <v>5246790.7907242095</v>
      </c>
      <c r="P65" s="33">
        <f t="shared" ref="P65" si="64">P61+P64</f>
        <v>5563374.4430256821</v>
      </c>
      <c r="Q65" s="33">
        <f t="shared" ref="Q65" si="65">Q61+Q64</f>
        <v>5891460.5015231725</v>
      </c>
      <c r="R65" s="33">
        <f t="shared" ref="R65" si="66">R61+R64</f>
        <v>6231352.1706634304</v>
      </c>
      <c r="S65" s="33">
        <f t="shared" ref="S65" si="67">S61+S64</f>
        <v>6583361.0099166716</v>
      </c>
      <c r="T65" s="33">
        <f t="shared" ref="T65" si="68">T61+T64</f>
        <v>6947807.224619803</v>
      </c>
      <c r="U65" s="33">
        <f t="shared" ref="U65" si="69">U61+U64</f>
        <v>7325019.9693241511</v>
      </c>
      <c r="V65" s="33">
        <f t="shared" ref="V65" si="70">V61+V64</f>
        <v>7715337.664243158</v>
      </c>
      <c r="W65" s="33">
        <f t="shared" ref="W65:AH65" si="71">W61+W64</f>
        <v>8119108.3254247364</v>
      </c>
      <c r="X65" s="33">
        <f t="shared" si="71"/>
        <v>0</v>
      </c>
      <c r="Y65" s="33">
        <f t="shared" si="71"/>
        <v>0</v>
      </c>
      <c r="Z65" s="33">
        <f t="shared" si="71"/>
        <v>0</v>
      </c>
      <c r="AA65" s="33">
        <f t="shared" si="71"/>
        <v>0</v>
      </c>
      <c r="AB65" s="33">
        <f t="shared" si="71"/>
        <v>0</v>
      </c>
      <c r="AC65" s="33">
        <f t="shared" si="71"/>
        <v>0</v>
      </c>
      <c r="AD65" s="33">
        <f t="shared" si="71"/>
        <v>0</v>
      </c>
      <c r="AE65" s="33">
        <f t="shared" si="71"/>
        <v>0</v>
      </c>
      <c r="AF65" s="33">
        <f t="shared" si="71"/>
        <v>0</v>
      </c>
      <c r="AG65" s="33">
        <f t="shared" si="71"/>
        <v>0</v>
      </c>
      <c r="AH65" s="33">
        <f t="shared" si="71"/>
        <v>0</v>
      </c>
    </row>
    <row r="66" spans="3:34" x14ac:dyDescent="0.25">
      <c r="C66" s="28" t="s">
        <v>148</v>
      </c>
      <c r="I66" s="17" t="s">
        <v>0</v>
      </c>
      <c r="J66" s="17" t="s">
        <v>0</v>
      </c>
      <c r="K66" s="17" t="s">
        <v>0</v>
      </c>
      <c r="L66" s="17" t="s">
        <v>0</v>
      </c>
      <c r="M66" s="9"/>
      <c r="N66" s="17" t="s">
        <v>0</v>
      </c>
      <c r="O66" s="17" t="s">
        <v>0</v>
      </c>
      <c r="P66" s="17" t="s">
        <v>0</v>
      </c>
      <c r="Q66" s="17" t="s">
        <v>0</v>
      </c>
      <c r="R66" s="17" t="s">
        <v>0</v>
      </c>
      <c r="S66" s="17" t="s">
        <v>0</v>
      </c>
      <c r="T66" s="17" t="s">
        <v>0</v>
      </c>
      <c r="U66" s="17" t="s">
        <v>0</v>
      </c>
      <c r="V66" s="17" t="s">
        <v>0</v>
      </c>
      <c r="W66" s="17" t="s">
        <v>0</v>
      </c>
      <c r="X66" s="17" t="s">
        <v>0</v>
      </c>
      <c r="Y66" s="17" t="s">
        <v>0</v>
      </c>
      <c r="Z66" s="17" t="s">
        <v>0</v>
      </c>
      <c r="AA66" s="17" t="s">
        <v>0</v>
      </c>
      <c r="AB66" s="17" t="s">
        <v>0</v>
      </c>
      <c r="AC66" s="17" t="s">
        <v>0</v>
      </c>
      <c r="AD66" s="17" t="s">
        <v>0</v>
      </c>
      <c r="AE66" s="17" t="s">
        <v>0</v>
      </c>
      <c r="AF66" s="17" t="s">
        <v>0</v>
      </c>
      <c r="AG66" s="17" t="s">
        <v>0</v>
      </c>
      <c r="AH66" s="17" t="s">
        <v>0</v>
      </c>
    </row>
    <row r="67" spans="3:34" x14ac:dyDescent="0.25">
      <c r="C67" s="28" t="s">
        <v>777</v>
      </c>
      <c r="I67" s="17">
        <v>-1309497</v>
      </c>
      <c r="J67" s="17">
        <v>-1518029</v>
      </c>
      <c r="K67" s="17">
        <v>-1710084</v>
      </c>
      <c r="L67" s="17">
        <v>-1944318</v>
      </c>
      <c r="M67" s="32">
        <f t="shared" si="40"/>
        <v>-1944318</v>
      </c>
      <c r="N67" s="32">
        <f t="shared" ref="N67:W67" si="72">N$65*N43</f>
        <v>-2116934.6586696142</v>
      </c>
      <c r="O67" s="32">
        <f t="shared" si="72"/>
        <v>-2300227.8276293776</v>
      </c>
      <c r="P67" s="32">
        <f t="shared" si="72"/>
        <v>-2494653.9416894279</v>
      </c>
      <c r="Q67" s="32">
        <f t="shared" si="72"/>
        <v>-2700684.5079662902</v>
      </c>
      <c r="R67" s="32">
        <f t="shared" si="72"/>
        <v>-2918806.6216165652</v>
      </c>
      <c r="S67" s="32">
        <f t="shared" si="72"/>
        <v>-3149523.5030732765</v>
      </c>
      <c r="T67" s="32">
        <f t="shared" si="72"/>
        <v>-3393355.0578468028</v>
      </c>
      <c r="U67" s="32">
        <f t="shared" si="72"/>
        <v>-3650838.4600087297</v>
      </c>
      <c r="V67" s="32">
        <f t="shared" si="72"/>
        <v>-3922528.7605366725</v>
      </c>
      <c r="W67" s="32">
        <f t="shared" si="72"/>
        <v>-4208999.5217609201</v>
      </c>
      <c r="X67" s="32">
        <f t="shared" ref="X67:AH67" si="73">X$65*X43</f>
        <v>0</v>
      </c>
      <c r="Y67" s="32">
        <f t="shared" si="73"/>
        <v>0</v>
      </c>
      <c r="Z67" s="32">
        <f t="shared" si="73"/>
        <v>0</v>
      </c>
      <c r="AA67" s="32">
        <f t="shared" si="73"/>
        <v>0</v>
      </c>
      <c r="AB67" s="32">
        <f t="shared" si="73"/>
        <v>0</v>
      </c>
      <c r="AC67" s="32">
        <f t="shared" si="73"/>
        <v>0</v>
      </c>
      <c r="AD67" s="32">
        <f t="shared" si="73"/>
        <v>0</v>
      </c>
      <c r="AE67" s="32">
        <f t="shared" si="73"/>
        <v>0</v>
      </c>
      <c r="AF67" s="32">
        <f t="shared" si="73"/>
        <v>0</v>
      </c>
      <c r="AG67" s="32">
        <f t="shared" si="73"/>
        <v>0</v>
      </c>
      <c r="AH67" s="32">
        <f t="shared" si="73"/>
        <v>0</v>
      </c>
    </row>
    <row r="68" spans="3:34" x14ac:dyDescent="0.25">
      <c r="C68" s="28" t="s">
        <v>153</v>
      </c>
      <c r="I68" s="17">
        <v>-585203</v>
      </c>
      <c r="J68" s="17">
        <v>-614498</v>
      </c>
      <c r="K68" s="17">
        <v>-619487</v>
      </c>
      <c r="L68" s="17">
        <v>-602997</v>
      </c>
      <c r="M68" s="32">
        <f t="shared" si="40"/>
        <v>-602997</v>
      </c>
      <c r="N68" s="32">
        <f t="shared" ref="N68:W68" si="74">N$65*N44</f>
        <v>-691798.01828052627</v>
      </c>
      <c r="O68" s="32">
        <f t="shared" si="74"/>
        <v>-734550.71070138935</v>
      </c>
      <c r="P68" s="32">
        <f t="shared" si="74"/>
        <v>-778872.42202359554</v>
      </c>
      <c r="Q68" s="32">
        <f t="shared" si="74"/>
        <v>-824804.4702132442</v>
      </c>
      <c r="R68" s="32">
        <f t="shared" si="74"/>
        <v>-872389.30389288033</v>
      </c>
      <c r="S68" s="32">
        <f t="shared" si="74"/>
        <v>-921670.54138833412</v>
      </c>
      <c r="T68" s="32">
        <f t="shared" si="74"/>
        <v>-972693.01144677249</v>
      </c>
      <c r="U68" s="32">
        <f t="shared" si="74"/>
        <v>-1025502.7957053812</v>
      </c>
      <c r="V68" s="32">
        <f t="shared" si="74"/>
        <v>-1080147.2729940421</v>
      </c>
      <c r="W68" s="32">
        <f t="shared" si="74"/>
        <v>-1136675.1655594632</v>
      </c>
      <c r="X68" s="32">
        <f t="shared" ref="X68:AH68" si="75">X$65*X44</f>
        <v>0</v>
      </c>
      <c r="Y68" s="32">
        <f t="shared" si="75"/>
        <v>0</v>
      </c>
      <c r="Z68" s="32">
        <f t="shared" si="75"/>
        <v>0</v>
      </c>
      <c r="AA68" s="32">
        <f t="shared" si="75"/>
        <v>0</v>
      </c>
      <c r="AB68" s="32">
        <f t="shared" si="75"/>
        <v>0</v>
      </c>
      <c r="AC68" s="32">
        <f t="shared" si="75"/>
        <v>0</v>
      </c>
      <c r="AD68" s="32">
        <f t="shared" si="75"/>
        <v>0</v>
      </c>
      <c r="AE68" s="32">
        <f t="shared" si="75"/>
        <v>0</v>
      </c>
      <c r="AF68" s="32">
        <f t="shared" si="75"/>
        <v>0</v>
      </c>
      <c r="AG68" s="32">
        <f t="shared" si="75"/>
        <v>0</v>
      </c>
      <c r="AH68" s="32">
        <f t="shared" si="75"/>
        <v>0</v>
      </c>
    </row>
    <row r="69" spans="3:34" x14ac:dyDescent="0.25">
      <c r="C69" s="28" t="s">
        <v>157</v>
      </c>
      <c r="I69" s="17">
        <v>-231224</v>
      </c>
      <c r="J69" s="17">
        <v>-250422</v>
      </c>
      <c r="K69" s="17">
        <v>-335229</v>
      </c>
      <c r="L69" s="17">
        <v>-402929</v>
      </c>
      <c r="M69" s="32">
        <f t="shared" si="40"/>
        <v>-402929</v>
      </c>
      <c r="N69" s="32">
        <f t="shared" ref="N69:W69" si="76">N$65*N45</f>
        <v>-428460.76279172336</v>
      </c>
      <c r="O69" s="32">
        <f t="shared" si="76"/>
        <v>-454939.37464373792</v>
      </c>
      <c r="P69" s="32">
        <f t="shared" si="76"/>
        <v>-482389.74850943248</v>
      </c>
      <c r="Q69" s="32">
        <f t="shared" si="76"/>
        <v>-510837.47441191215</v>
      </c>
      <c r="R69" s="32">
        <f t="shared" si="76"/>
        <v>-540308.84263925895</v>
      </c>
      <c r="S69" s="32">
        <f t="shared" si="76"/>
        <v>-570830.86792794662</v>
      </c>
      <c r="T69" s="32">
        <f t="shared" si="76"/>
        <v>-602431.31468131044</v>
      </c>
      <c r="U69" s="32">
        <f t="shared" si="76"/>
        <v>-635138.72327225923</v>
      </c>
      <c r="V69" s="32">
        <f t="shared" si="76"/>
        <v>-668982.43748186051</v>
      </c>
      <c r="W69" s="32">
        <f t="shared" si="76"/>
        <v>-703992.63312796538</v>
      </c>
      <c r="X69" s="32">
        <f t="shared" ref="X69:AH69" si="77">X$65*X45</f>
        <v>0</v>
      </c>
      <c r="Y69" s="32">
        <f t="shared" si="77"/>
        <v>0</v>
      </c>
      <c r="Z69" s="32">
        <f t="shared" si="77"/>
        <v>0</v>
      </c>
      <c r="AA69" s="32">
        <f t="shared" si="77"/>
        <v>0</v>
      </c>
      <c r="AB69" s="32">
        <f t="shared" si="77"/>
        <v>0</v>
      </c>
      <c r="AC69" s="32">
        <f t="shared" si="77"/>
        <v>0</v>
      </c>
      <c r="AD69" s="32">
        <f t="shared" si="77"/>
        <v>0</v>
      </c>
      <c r="AE69" s="32">
        <f t="shared" si="77"/>
        <v>0</v>
      </c>
      <c r="AF69" s="32">
        <f t="shared" si="77"/>
        <v>0</v>
      </c>
      <c r="AG69" s="32">
        <f t="shared" si="77"/>
        <v>0</v>
      </c>
      <c r="AH69" s="32">
        <f t="shared" si="77"/>
        <v>0</v>
      </c>
    </row>
    <row r="70" spans="3:34" s="7" customFormat="1" x14ac:dyDescent="0.25">
      <c r="C70" s="7" t="s">
        <v>161</v>
      </c>
      <c r="E70" s="13"/>
      <c r="F70" s="13"/>
      <c r="G70" s="13"/>
      <c r="H70" s="13"/>
      <c r="I70" s="18">
        <f>SUM(I67:I69)</f>
        <v>-2125924</v>
      </c>
      <c r="J70" s="18">
        <f t="shared" ref="J70" si="78">SUM(J67:J69)</f>
        <v>-2382949</v>
      </c>
      <c r="K70" s="18">
        <f>SUM(K67:K69)</f>
        <v>-2664800</v>
      </c>
      <c r="L70" s="18">
        <f>SUM(L67:L69)</f>
        <v>-2950244</v>
      </c>
      <c r="M70" s="33">
        <f>SUM(M67:M69)</f>
        <v>-2950244</v>
      </c>
      <c r="N70" s="33">
        <f t="shared" ref="N70:W70" si="79">SUM(N67:N69)</f>
        <v>-3237193.4397418639</v>
      </c>
      <c r="O70" s="33">
        <f t="shared" si="79"/>
        <v>-3489717.9129745048</v>
      </c>
      <c r="P70" s="33">
        <f t="shared" si="79"/>
        <v>-3755916.1122224559</v>
      </c>
      <c r="Q70" s="33">
        <f t="shared" si="79"/>
        <v>-4036326.4525914467</v>
      </c>
      <c r="R70" s="33">
        <f t="shared" si="79"/>
        <v>-4331504.7681487044</v>
      </c>
      <c r="S70" s="33">
        <f t="shared" si="79"/>
        <v>-4642024.9123895578</v>
      </c>
      <c r="T70" s="33">
        <f t="shared" si="79"/>
        <v>-4968479.3839748856</v>
      </c>
      <c r="U70" s="33">
        <f t="shared" si="79"/>
        <v>-5311479.9789863704</v>
      </c>
      <c r="V70" s="33">
        <f t="shared" si="79"/>
        <v>-5671658.4710125756</v>
      </c>
      <c r="W70" s="33">
        <f t="shared" si="79"/>
        <v>-6049667.3204483483</v>
      </c>
      <c r="X70" s="33">
        <f t="shared" ref="X70:AH70" si="80">SUM(X67:X69)</f>
        <v>0</v>
      </c>
      <c r="Y70" s="33">
        <f t="shared" si="80"/>
        <v>0</v>
      </c>
      <c r="Z70" s="33">
        <f t="shared" si="80"/>
        <v>0</v>
      </c>
      <c r="AA70" s="33">
        <f t="shared" si="80"/>
        <v>0</v>
      </c>
      <c r="AB70" s="33">
        <f t="shared" si="80"/>
        <v>0</v>
      </c>
      <c r="AC70" s="33">
        <f t="shared" si="80"/>
        <v>0</v>
      </c>
      <c r="AD70" s="33">
        <f t="shared" si="80"/>
        <v>0</v>
      </c>
      <c r="AE70" s="33">
        <f t="shared" si="80"/>
        <v>0</v>
      </c>
      <c r="AF70" s="33">
        <f t="shared" si="80"/>
        <v>0</v>
      </c>
      <c r="AG70" s="33">
        <f t="shared" si="80"/>
        <v>0</v>
      </c>
      <c r="AH70" s="33">
        <f t="shared" si="80"/>
        <v>0</v>
      </c>
    </row>
    <row r="71" spans="3:34" s="7" customFormat="1" x14ac:dyDescent="0.25">
      <c r="C71" s="7" t="s">
        <v>165</v>
      </c>
      <c r="E71" s="13"/>
      <c r="F71" s="13"/>
      <c r="G71" s="13"/>
      <c r="H71" s="13"/>
      <c r="I71" s="18">
        <f>I65+I70</f>
        <v>1374997</v>
      </c>
      <c r="J71" s="18">
        <f t="shared" ref="J71:M71" si="81">J65+J70</f>
        <v>1486569</v>
      </c>
      <c r="K71" s="18">
        <f t="shared" si="81"/>
        <v>1572023</v>
      </c>
      <c r="L71" s="18">
        <f t="shared" si="81"/>
        <v>1696714</v>
      </c>
      <c r="M71" s="33">
        <f t="shared" si="81"/>
        <v>1696714</v>
      </c>
      <c r="N71" s="33">
        <f t="shared" ref="N71" si="82">N65+N70</f>
        <v>1704220.9765476091</v>
      </c>
      <c r="O71" s="33">
        <f t="shared" ref="O71" si="83">O65+O70</f>
        <v>1757072.8777497048</v>
      </c>
      <c r="P71" s="33">
        <f>P65+P70</f>
        <v>1807458.3308032262</v>
      </c>
      <c r="Q71" s="33">
        <f t="shared" ref="Q71" si="84">Q65+Q70</f>
        <v>1855134.0489317258</v>
      </c>
      <c r="R71" s="33">
        <f t="shared" ref="R71" si="85">R65+R70</f>
        <v>1899847.4025147259</v>
      </c>
      <c r="S71" s="33">
        <f t="shared" ref="S71" si="86">S65+S70</f>
        <v>1941336.0975271137</v>
      </c>
      <c r="T71" s="33">
        <f t="shared" ref="T71" si="87">T65+T70</f>
        <v>1979327.8406449175</v>
      </c>
      <c r="U71" s="33">
        <f t="shared" ref="U71" si="88">U65+U70</f>
        <v>2013539.9903377807</v>
      </c>
      <c r="V71" s="33">
        <f t="shared" ref="V71" si="89">V65+V70</f>
        <v>2043679.1932305824</v>
      </c>
      <c r="W71" s="33">
        <f t="shared" ref="W71:AH71" si="90">W65+W70</f>
        <v>2069441.0049763881</v>
      </c>
      <c r="X71" s="33">
        <f t="shared" si="90"/>
        <v>0</v>
      </c>
      <c r="Y71" s="33">
        <f t="shared" si="90"/>
        <v>0</v>
      </c>
      <c r="Z71" s="33">
        <f t="shared" si="90"/>
        <v>0</v>
      </c>
      <c r="AA71" s="33">
        <f t="shared" si="90"/>
        <v>0</v>
      </c>
      <c r="AB71" s="33">
        <f t="shared" si="90"/>
        <v>0</v>
      </c>
      <c r="AC71" s="33">
        <f t="shared" si="90"/>
        <v>0</v>
      </c>
      <c r="AD71" s="33">
        <f t="shared" si="90"/>
        <v>0</v>
      </c>
      <c r="AE71" s="33">
        <f t="shared" si="90"/>
        <v>0</v>
      </c>
      <c r="AF71" s="33">
        <f t="shared" si="90"/>
        <v>0</v>
      </c>
      <c r="AG71" s="33">
        <f t="shared" si="90"/>
        <v>0</v>
      </c>
      <c r="AH71" s="33">
        <f t="shared" si="90"/>
        <v>0</v>
      </c>
    </row>
    <row r="72" spans="3:34" x14ac:dyDescent="0.25">
      <c r="C72" s="28" t="s">
        <v>494</v>
      </c>
      <c r="I72" s="17" t="s">
        <v>0</v>
      </c>
      <c r="J72" s="17" t="s">
        <v>0</v>
      </c>
      <c r="K72" s="17" t="s">
        <v>0</v>
      </c>
      <c r="L72" s="17" t="s">
        <v>0</v>
      </c>
      <c r="M72" s="11"/>
      <c r="N72" s="32"/>
    </row>
    <row r="73" spans="3:34" x14ac:dyDescent="0.25">
      <c r="C73" s="28" t="s">
        <v>495</v>
      </c>
      <c r="I73" s="17">
        <v>-16688</v>
      </c>
      <c r="J73" s="17">
        <v>65928</v>
      </c>
      <c r="K73" s="17">
        <v>145673</v>
      </c>
      <c r="L73" s="17">
        <v>178909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</row>
    <row r="74" spans="3:34" x14ac:dyDescent="0.25">
      <c r="C74" s="28" t="s">
        <v>498</v>
      </c>
      <c r="I74" s="17">
        <v>-17355</v>
      </c>
      <c r="J74" s="17">
        <v>1831</v>
      </c>
      <c r="K74" s="17">
        <v>-3095</v>
      </c>
      <c r="L74" s="17">
        <v>19958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</row>
    <row r="75" spans="3:34" s="7" customFormat="1" x14ac:dyDescent="0.25">
      <c r="C75" s="7" t="s">
        <v>635</v>
      </c>
      <c r="I75" s="18">
        <f>SUM(I73:I74)</f>
        <v>-34043</v>
      </c>
      <c r="J75" s="18">
        <f t="shared" ref="J75:M75" si="91">SUM(J73:J74)</f>
        <v>67759</v>
      </c>
      <c r="K75" s="18">
        <f t="shared" si="91"/>
        <v>142578</v>
      </c>
      <c r="L75" s="18">
        <f t="shared" si="91"/>
        <v>198867</v>
      </c>
      <c r="M75" s="33">
        <f t="shared" si="91"/>
        <v>0</v>
      </c>
      <c r="N75" s="33">
        <f t="shared" ref="N75" si="92">SUM(N73:N74)</f>
        <v>0</v>
      </c>
      <c r="O75" s="33">
        <f t="shared" ref="O75" si="93">SUM(O73:O74)</f>
        <v>0</v>
      </c>
      <c r="P75" s="33">
        <f t="shared" ref="P75" si="94">SUM(P73:P74)</f>
        <v>0</v>
      </c>
      <c r="Q75" s="33">
        <f t="shared" ref="Q75" si="95">SUM(Q73:Q74)</f>
        <v>0</v>
      </c>
      <c r="R75" s="33">
        <f t="shared" ref="R75" si="96">SUM(R73:R74)</f>
        <v>0</v>
      </c>
      <c r="S75" s="33">
        <f t="shared" ref="S75" si="97">SUM(S73:S74)</f>
        <v>0</v>
      </c>
      <c r="T75" s="33">
        <f t="shared" ref="T75" si="98">SUM(T73:T74)</f>
        <v>0</v>
      </c>
      <c r="U75" s="33">
        <f t="shared" ref="U75" si="99">SUM(U73:U74)</f>
        <v>0</v>
      </c>
      <c r="V75" s="33">
        <f t="shared" ref="V75" si="100">SUM(V73:V74)</f>
        <v>0</v>
      </c>
      <c r="W75" s="33">
        <f t="shared" ref="W75:AH75" si="101">SUM(W73:W74)</f>
        <v>0</v>
      </c>
      <c r="X75" s="33">
        <f t="shared" si="101"/>
        <v>0</v>
      </c>
      <c r="Y75" s="33">
        <f t="shared" si="101"/>
        <v>0</v>
      </c>
      <c r="Z75" s="33">
        <f t="shared" si="101"/>
        <v>0</v>
      </c>
      <c r="AA75" s="33">
        <f t="shared" si="101"/>
        <v>0</v>
      </c>
      <c r="AB75" s="33">
        <f t="shared" si="101"/>
        <v>0</v>
      </c>
      <c r="AC75" s="33">
        <f t="shared" si="101"/>
        <v>0</v>
      </c>
      <c r="AD75" s="33">
        <f t="shared" si="101"/>
        <v>0</v>
      </c>
      <c r="AE75" s="33">
        <f t="shared" si="101"/>
        <v>0</v>
      </c>
      <c r="AF75" s="33">
        <f t="shared" si="101"/>
        <v>0</v>
      </c>
      <c r="AG75" s="33">
        <f t="shared" si="101"/>
        <v>0</v>
      </c>
      <c r="AH75" s="33">
        <f t="shared" si="101"/>
        <v>0</v>
      </c>
    </row>
    <row r="76" spans="3:34" s="7" customFormat="1" x14ac:dyDescent="0.25">
      <c r="C76" s="7" t="s">
        <v>182</v>
      </c>
      <c r="I76" s="18">
        <f>I71+I75</f>
        <v>1340954</v>
      </c>
      <c r="J76" s="18">
        <f t="shared" ref="J76:L76" si="102">J71+J75</f>
        <v>1554328</v>
      </c>
      <c r="K76" s="18">
        <f t="shared" si="102"/>
        <v>1714601</v>
      </c>
      <c r="L76" s="18">
        <f t="shared" si="102"/>
        <v>1895581</v>
      </c>
      <c r="M76" s="33">
        <f>M71+M75</f>
        <v>1696714</v>
      </c>
      <c r="N76" s="33">
        <f t="shared" ref="N76" si="103">N71+N75</f>
        <v>1704220.9765476091</v>
      </c>
      <c r="O76" s="33">
        <f t="shared" ref="O76" si="104">O71+O75</f>
        <v>1757072.8777497048</v>
      </c>
      <c r="P76" s="33">
        <f t="shared" ref="P76" si="105">P71+P75</f>
        <v>1807458.3308032262</v>
      </c>
      <c r="Q76" s="33">
        <f t="shared" ref="Q76" si="106">Q71+Q75</f>
        <v>1855134.0489317258</v>
      </c>
      <c r="R76" s="33">
        <f t="shared" ref="R76" si="107">R71+R75</f>
        <v>1899847.4025147259</v>
      </c>
      <c r="S76" s="33">
        <f t="shared" ref="S76" si="108">S71+S75</f>
        <v>1941336.0975271137</v>
      </c>
      <c r="T76" s="33">
        <f t="shared" ref="T76" si="109">T71+T75</f>
        <v>1979327.8406449175</v>
      </c>
      <c r="U76" s="33">
        <f t="shared" ref="U76" si="110">U71+U75</f>
        <v>2013539.9903377807</v>
      </c>
      <c r="V76" s="33">
        <f t="shared" ref="V76" si="111">V71+V75</f>
        <v>2043679.1932305824</v>
      </c>
      <c r="W76" s="33">
        <f t="shared" ref="W76:AH76" si="112">W71+W75</f>
        <v>2069441.0049763881</v>
      </c>
      <c r="X76" s="33">
        <f t="shared" si="112"/>
        <v>0</v>
      </c>
      <c r="Y76" s="33">
        <f t="shared" si="112"/>
        <v>0</v>
      </c>
      <c r="Z76" s="33">
        <f t="shared" si="112"/>
        <v>0</v>
      </c>
      <c r="AA76" s="33">
        <f t="shared" si="112"/>
        <v>0</v>
      </c>
      <c r="AB76" s="33">
        <f t="shared" si="112"/>
        <v>0</v>
      </c>
      <c r="AC76" s="33">
        <f t="shared" si="112"/>
        <v>0</v>
      </c>
      <c r="AD76" s="33">
        <f t="shared" si="112"/>
        <v>0</v>
      </c>
      <c r="AE76" s="33">
        <f t="shared" si="112"/>
        <v>0</v>
      </c>
      <c r="AF76" s="33">
        <f t="shared" si="112"/>
        <v>0</v>
      </c>
      <c r="AG76" s="33">
        <f t="shared" si="112"/>
        <v>0</v>
      </c>
      <c r="AH76" s="33">
        <f t="shared" si="112"/>
        <v>0</v>
      </c>
    </row>
    <row r="77" spans="3:34" x14ac:dyDescent="0.25">
      <c r="C77" s="28" t="s">
        <v>186</v>
      </c>
      <c r="I77" s="17">
        <v>-250824</v>
      </c>
      <c r="J77" s="17">
        <v>-316587</v>
      </c>
      <c r="K77" s="17">
        <v>-352254</v>
      </c>
      <c r="L77" s="17">
        <v>-347218</v>
      </c>
      <c r="M77" s="32">
        <f t="shared" si="40"/>
        <v>-347218</v>
      </c>
      <c r="N77" s="32">
        <f t="shared" ref="N77:W77" si="113">N76*N48</f>
        <v>-332044.41667918919</v>
      </c>
      <c r="O77" s="32">
        <f t="shared" si="113"/>
        <v>-342341.89508518024</v>
      </c>
      <c r="P77" s="32">
        <f t="shared" si="113"/>
        <v>-352158.81941512547</v>
      </c>
      <c r="Q77" s="32">
        <f t="shared" si="113"/>
        <v>-361447.78852980462</v>
      </c>
      <c r="R77" s="32">
        <f t="shared" si="113"/>
        <v>-370159.58096315095</v>
      </c>
      <c r="S77" s="32">
        <f t="shared" si="113"/>
        <v>-378243.09227051469</v>
      </c>
      <c r="T77" s="32">
        <f t="shared" si="113"/>
        <v>-385645.26977905119</v>
      </c>
      <c r="U77" s="32">
        <f t="shared" si="113"/>
        <v>-392311.04460780649</v>
      </c>
      <c r="V77" s="32">
        <f t="shared" si="113"/>
        <v>-398183.2608176957</v>
      </c>
      <c r="W77" s="32">
        <f t="shared" si="113"/>
        <v>-403202.60154372279</v>
      </c>
      <c r="X77" s="32">
        <f t="shared" ref="X77:AH77" si="114">X76*X48</f>
        <v>0</v>
      </c>
      <c r="Y77" s="32">
        <f t="shared" si="114"/>
        <v>0</v>
      </c>
      <c r="Z77" s="32">
        <f t="shared" si="114"/>
        <v>0</v>
      </c>
      <c r="AA77" s="32">
        <f t="shared" si="114"/>
        <v>0</v>
      </c>
      <c r="AB77" s="32">
        <f t="shared" si="114"/>
        <v>0</v>
      </c>
      <c r="AC77" s="32">
        <f t="shared" si="114"/>
        <v>0</v>
      </c>
      <c r="AD77" s="32">
        <f t="shared" si="114"/>
        <v>0</v>
      </c>
      <c r="AE77" s="32">
        <f t="shared" si="114"/>
        <v>0</v>
      </c>
      <c r="AF77" s="32">
        <f t="shared" si="114"/>
        <v>0</v>
      </c>
      <c r="AG77" s="32">
        <f t="shared" si="114"/>
        <v>0</v>
      </c>
      <c r="AH77" s="32">
        <f t="shared" si="114"/>
        <v>0</v>
      </c>
    </row>
    <row r="78" spans="3:34" s="7" customFormat="1" x14ac:dyDescent="0.25">
      <c r="C78" s="7" t="s">
        <v>187</v>
      </c>
      <c r="I78" s="18">
        <f>I76+I77</f>
        <v>1090130</v>
      </c>
      <c r="J78" s="18">
        <f t="shared" ref="J78:L78" si="115">J76+J77</f>
        <v>1237741</v>
      </c>
      <c r="K78" s="18">
        <f t="shared" si="115"/>
        <v>1362347</v>
      </c>
      <c r="L78" s="18">
        <f t="shared" si="115"/>
        <v>1548363</v>
      </c>
      <c r="M78" s="32">
        <f>M76+M77</f>
        <v>1349496</v>
      </c>
      <c r="N78" s="32">
        <f t="shared" ref="N78" si="116">N76+N77</f>
        <v>1372176.55986842</v>
      </c>
      <c r="O78" s="12">
        <f t="shared" ref="O78" si="117">O76+O77</f>
        <v>1414730.9826645246</v>
      </c>
      <c r="P78" s="12">
        <f>P76+P77</f>
        <v>1455299.5113881007</v>
      </c>
      <c r="Q78" s="12">
        <f>Q76+Q77</f>
        <v>1493686.2604019211</v>
      </c>
      <c r="R78" s="12">
        <f>R76+R77</f>
        <v>1529687.8215515749</v>
      </c>
      <c r="S78" s="12">
        <f t="shared" ref="S78" si="118">S76+S77</f>
        <v>1563093.005256599</v>
      </c>
      <c r="T78" s="12">
        <f t="shared" ref="T78" si="119">T76+T77</f>
        <v>1593682.5708658663</v>
      </c>
      <c r="U78" s="12">
        <f t="shared" ref="U78" si="120">U76+U77</f>
        <v>1621228.9457299742</v>
      </c>
      <c r="V78" s="12">
        <f t="shared" ref="V78" si="121">V76+V77</f>
        <v>1645495.9324128868</v>
      </c>
      <c r="W78" s="12">
        <f t="shared" ref="W78:AH78" si="122">W76+W77</f>
        <v>1666238.4034326654</v>
      </c>
      <c r="X78" s="12">
        <f t="shared" si="122"/>
        <v>0</v>
      </c>
      <c r="Y78" s="12">
        <f t="shared" si="122"/>
        <v>0</v>
      </c>
      <c r="Z78" s="12">
        <f t="shared" si="122"/>
        <v>0</v>
      </c>
      <c r="AA78" s="12">
        <f t="shared" si="122"/>
        <v>0</v>
      </c>
      <c r="AB78" s="12">
        <f t="shared" si="122"/>
        <v>0</v>
      </c>
      <c r="AC78" s="12">
        <f t="shared" si="122"/>
        <v>0</v>
      </c>
      <c r="AD78" s="12">
        <f t="shared" si="122"/>
        <v>0</v>
      </c>
      <c r="AE78" s="12">
        <f t="shared" si="122"/>
        <v>0</v>
      </c>
      <c r="AF78" s="12">
        <f t="shared" si="122"/>
        <v>0</v>
      </c>
      <c r="AG78" s="12">
        <f t="shared" si="122"/>
        <v>0</v>
      </c>
      <c r="AH78" s="12">
        <f t="shared" si="122"/>
        <v>0</v>
      </c>
    </row>
    <row r="79" spans="3:34" x14ac:dyDescent="0.25">
      <c r="C79" s="28" t="s">
        <v>639</v>
      </c>
      <c r="I79" s="32"/>
      <c r="J79" s="17">
        <v>0</v>
      </c>
      <c r="K79" s="17">
        <v>-673</v>
      </c>
      <c r="L79" s="17">
        <v>-4086</v>
      </c>
      <c r="M79" s="32">
        <f t="shared" si="40"/>
        <v>-4086</v>
      </c>
      <c r="N79" s="32">
        <f t="shared" ref="N79:W79" si="123">M79*N10</f>
        <v>-4086</v>
      </c>
      <c r="O79" s="34">
        <f t="shared" si="123"/>
        <v>-4086</v>
      </c>
      <c r="P79" s="34">
        <f t="shared" si="123"/>
        <v>-4086</v>
      </c>
      <c r="Q79" s="34">
        <f t="shared" si="123"/>
        <v>-4086</v>
      </c>
      <c r="R79" s="34">
        <f t="shared" si="123"/>
        <v>-4086</v>
      </c>
      <c r="S79" s="34">
        <f t="shared" si="123"/>
        <v>-4086</v>
      </c>
      <c r="T79" s="34">
        <f t="shared" si="123"/>
        <v>-4086</v>
      </c>
      <c r="U79" s="34">
        <f t="shared" si="123"/>
        <v>-4086</v>
      </c>
      <c r="V79" s="34">
        <f t="shared" si="123"/>
        <v>-4086</v>
      </c>
      <c r="W79" s="34">
        <f t="shared" si="123"/>
        <v>-4086</v>
      </c>
      <c r="X79" s="34">
        <f t="shared" ref="X79:AH79" si="124">W79*X10</f>
        <v>0</v>
      </c>
      <c r="Y79" s="34">
        <f t="shared" si="124"/>
        <v>0</v>
      </c>
      <c r="Z79" s="34">
        <f t="shared" si="124"/>
        <v>0</v>
      </c>
      <c r="AA79" s="34">
        <f t="shared" si="124"/>
        <v>0</v>
      </c>
      <c r="AB79" s="34">
        <f t="shared" si="124"/>
        <v>0</v>
      </c>
      <c r="AC79" s="34">
        <f t="shared" si="124"/>
        <v>0</v>
      </c>
      <c r="AD79" s="34">
        <f t="shared" si="124"/>
        <v>0</v>
      </c>
      <c r="AE79" s="34">
        <f t="shared" si="124"/>
        <v>0</v>
      </c>
      <c r="AF79" s="34">
        <f t="shared" si="124"/>
        <v>0</v>
      </c>
      <c r="AG79" s="34">
        <f t="shared" si="124"/>
        <v>0</v>
      </c>
      <c r="AH79" s="34">
        <f t="shared" si="124"/>
        <v>0</v>
      </c>
    </row>
    <row r="80" spans="3:34" s="7" customFormat="1" x14ac:dyDescent="0.25">
      <c r="C80" s="7" t="s">
        <v>641</v>
      </c>
      <c r="I80" s="18">
        <f>I78-I79</f>
        <v>1090130</v>
      </c>
      <c r="J80" s="18">
        <f t="shared" ref="J80:W80" si="125">J78-J79</f>
        <v>1237741</v>
      </c>
      <c r="K80" s="18">
        <f t="shared" si="125"/>
        <v>1363020</v>
      </c>
      <c r="L80" s="18">
        <f t="shared" si="125"/>
        <v>1552449</v>
      </c>
      <c r="M80" s="33">
        <f>M78-M79</f>
        <v>1353582</v>
      </c>
      <c r="N80" s="33">
        <f t="shared" si="125"/>
        <v>1376262.55986842</v>
      </c>
      <c r="O80" s="33">
        <f t="shared" si="125"/>
        <v>1418816.9826645246</v>
      </c>
      <c r="P80" s="33">
        <f t="shared" si="125"/>
        <v>1459385.5113881007</v>
      </c>
      <c r="Q80" s="33">
        <f t="shared" si="125"/>
        <v>1497772.2604019211</v>
      </c>
      <c r="R80" s="33">
        <f t="shared" si="125"/>
        <v>1533773.8215515749</v>
      </c>
      <c r="S80" s="33">
        <f t="shared" si="125"/>
        <v>1567179.005256599</v>
      </c>
      <c r="T80" s="33">
        <f t="shared" si="125"/>
        <v>1597768.5708658663</v>
      </c>
      <c r="U80" s="33">
        <f t="shared" si="125"/>
        <v>1625314.9457299742</v>
      </c>
      <c r="V80" s="33">
        <f t="shared" si="125"/>
        <v>1649581.9324128868</v>
      </c>
      <c r="W80" s="33">
        <f t="shared" si="125"/>
        <v>1670324.4034326654</v>
      </c>
      <c r="X80" s="33">
        <f t="shared" ref="X80:AH80" si="126">X78-X79</f>
        <v>0</v>
      </c>
      <c r="Y80" s="33">
        <f t="shared" si="126"/>
        <v>0</v>
      </c>
      <c r="Z80" s="33">
        <f t="shared" si="126"/>
        <v>0</v>
      </c>
      <c r="AA80" s="33">
        <f t="shared" si="126"/>
        <v>0</v>
      </c>
      <c r="AB80" s="33">
        <f t="shared" si="126"/>
        <v>0</v>
      </c>
      <c r="AC80" s="33">
        <f t="shared" si="126"/>
        <v>0</v>
      </c>
      <c r="AD80" s="33">
        <f t="shared" si="126"/>
        <v>0</v>
      </c>
      <c r="AE80" s="33">
        <f t="shared" si="126"/>
        <v>0</v>
      </c>
      <c r="AF80" s="33">
        <f t="shared" si="126"/>
        <v>0</v>
      </c>
      <c r="AG80" s="33">
        <f t="shared" si="126"/>
        <v>0</v>
      </c>
      <c r="AH80" s="33">
        <f t="shared" si="126"/>
        <v>0</v>
      </c>
    </row>
    <row r="81" spans="2:34" x14ac:dyDescent="0.25">
      <c r="C81" s="28" t="s">
        <v>0</v>
      </c>
      <c r="E81" s="7"/>
      <c r="F81" s="7"/>
      <c r="G81" s="7"/>
      <c r="H81" s="7"/>
      <c r="I81" s="32"/>
      <c r="J81" s="17" t="s">
        <v>0</v>
      </c>
      <c r="K81" s="17" t="s">
        <v>0</v>
      </c>
      <c r="L81" s="17" t="s">
        <v>0</v>
      </c>
      <c r="M81" s="17" t="s">
        <v>0</v>
      </c>
      <c r="N81" s="17" t="s">
        <v>0</v>
      </c>
      <c r="O81" s="17" t="s">
        <v>0</v>
      </c>
      <c r="P81" s="17" t="s">
        <v>0</v>
      </c>
      <c r="Q81" s="17" t="s">
        <v>0</v>
      </c>
      <c r="R81" s="17" t="s">
        <v>0</v>
      </c>
      <c r="S81" s="17" t="s">
        <v>0</v>
      </c>
      <c r="T81" s="17" t="s">
        <v>0</v>
      </c>
      <c r="U81" s="17" t="s">
        <v>0</v>
      </c>
      <c r="V81" s="17" t="s">
        <v>0</v>
      </c>
      <c r="W81" s="17" t="s">
        <v>0</v>
      </c>
      <c r="X81" s="17" t="s">
        <v>0</v>
      </c>
      <c r="Y81" s="17" t="s">
        <v>0</v>
      </c>
      <c r="Z81" s="17" t="s">
        <v>0</v>
      </c>
      <c r="AA81" s="17" t="s">
        <v>0</v>
      </c>
      <c r="AB81" s="17" t="s">
        <v>0</v>
      </c>
      <c r="AC81" s="17" t="s">
        <v>0</v>
      </c>
      <c r="AD81" s="17" t="s">
        <v>0</v>
      </c>
      <c r="AE81" s="17" t="s">
        <v>0</v>
      </c>
      <c r="AF81" s="17" t="s">
        <v>0</v>
      </c>
      <c r="AG81" s="17" t="s">
        <v>0</v>
      </c>
      <c r="AH81" s="17" t="s">
        <v>0</v>
      </c>
    </row>
    <row r="82" spans="2:34" x14ac:dyDescent="0.25">
      <c r="C82" s="28" t="s">
        <v>191</v>
      </c>
      <c r="I82" s="17">
        <v>4.59</v>
      </c>
      <c r="J82" s="17">
        <v>1.3</v>
      </c>
      <c r="K82" s="17">
        <v>1.42</v>
      </c>
      <c r="L82" s="17">
        <v>1.61</v>
      </c>
      <c r="M82" s="32">
        <f>M80/M83</f>
        <v>1.4022310023971674</v>
      </c>
      <c r="N82" s="32">
        <f>N80/N83</f>
        <v>1.4257267227888566</v>
      </c>
      <c r="O82" s="32">
        <f t="shared" ref="O82:W82" si="127">O80/O83</f>
        <v>1.4698105913197728</v>
      </c>
      <c r="P82" s="32">
        <f t="shared" si="127"/>
        <v>1.5118371908887966</v>
      </c>
      <c r="Q82" s="32">
        <f t="shared" si="127"/>
        <v>1.5516035955457865</v>
      </c>
      <c r="R82" s="32">
        <f t="shared" si="127"/>
        <v>1.5888990864571182</v>
      </c>
      <c r="S82" s="32">
        <f t="shared" si="127"/>
        <v>1.6235048836913881</v>
      </c>
      <c r="T82" s="32">
        <f t="shared" si="127"/>
        <v>1.6551938668835233</v>
      </c>
      <c r="U82" s="32">
        <f t="shared" si="127"/>
        <v>1.6837302842103687</v>
      </c>
      <c r="V82" s="32">
        <f t="shared" si="127"/>
        <v>1.708869449079242</v>
      </c>
      <c r="W82" s="32">
        <f t="shared" si="127"/>
        <v>1.7303574238973605</v>
      </c>
      <c r="X82" s="32" t="e">
        <f t="shared" ref="X82:AH82" si="128">X80/X83</f>
        <v>#DIV/0!</v>
      </c>
      <c r="Y82" s="32" t="e">
        <f t="shared" si="128"/>
        <v>#DIV/0!</v>
      </c>
      <c r="Z82" s="32" t="e">
        <f t="shared" si="128"/>
        <v>#DIV/0!</v>
      </c>
      <c r="AA82" s="32" t="e">
        <f t="shared" si="128"/>
        <v>#DIV/0!</v>
      </c>
      <c r="AB82" s="32" t="e">
        <f t="shared" si="128"/>
        <v>#DIV/0!</v>
      </c>
      <c r="AC82" s="32" t="e">
        <f t="shared" si="128"/>
        <v>#DIV/0!</v>
      </c>
      <c r="AD82" s="32" t="e">
        <f t="shared" si="128"/>
        <v>#DIV/0!</v>
      </c>
      <c r="AE82" s="32" t="e">
        <f t="shared" si="128"/>
        <v>#DIV/0!</v>
      </c>
      <c r="AF82" s="32" t="e">
        <f t="shared" si="128"/>
        <v>#DIV/0!</v>
      </c>
      <c r="AG82" s="32" t="e">
        <f t="shared" si="128"/>
        <v>#DIV/0!</v>
      </c>
      <c r="AH82" s="32" t="e">
        <f t="shared" si="128"/>
        <v>#DIV/0!</v>
      </c>
    </row>
    <row r="83" spans="2:34" x14ac:dyDescent="0.25">
      <c r="C83" s="28" t="s">
        <v>195</v>
      </c>
      <c r="I83" s="17">
        <v>237419</v>
      </c>
      <c r="J83" s="17">
        <v>953574</v>
      </c>
      <c r="K83" s="17">
        <v>960739</v>
      </c>
      <c r="L83" s="17">
        <v>965306</v>
      </c>
      <c r="M83" s="32">
        <f>L83</f>
        <v>965306</v>
      </c>
      <c r="N83" s="32">
        <f t="shared" ref="N83:W83" si="129">M83*N10</f>
        <v>965306</v>
      </c>
      <c r="O83" s="32">
        <f t="shared" si="129"/>
        <v>965306</v>
      </c>
      <c r="P83" s="32">
        <f t="shared" si="129"/>
        <v>965306</v>
      </c>
      <c r="Q83" s="32">
        <f t="shared" si="129"/>
        <v>965306</v>
      </c>
      <c r="R83" s="32">
        <f t="shared" si="129"/>
        <v>965306</v>
      </c>
      <c r="S83" s="32">
        <f t="shared" si="129"/>
        <v>965306</v>
      </c>
      <c r="T83" s="32">
        <f t="shared" si="129"/>
        <v>965306</v>
      </c>
      <c r="U83" s="32">
        <f t="shared" si="129"/>
        <v>965306</v>
      </c>
      <c r="V83" s="32">
        <f t="shared" si="129"/>
        <v>965306</v>
      </c>
      <c r="W83" s="32">
        <f t="shared" si="129"/>
        <v>965306</v>
      </c>
      <c r="X83" s="32">
        <f t="shared" ref="X83:AH83" si="130">W83*X10</f>
        <v>0</v>
      </c>
      <c r="Y83" s="32">
        <f t="shared" si="130"/>
        <v>0</v>
      </c>
      <c r="Z83" s="32">
        <f t="shared" si="130"/>
        <v>0</v>
      </c>
      <c r="AA83" s="32">
        <f t="shared" si="130"/>
        <v>0</v>
      </c>
      <c r="AB83" s="32">
        <f t="shared" si="130"/>
        <v>0</v>
      </c>
      <c r="AC83" s="32">
        <f t="shared" si="130"/>
        <v>0</v>
      </c>
      <c r="AD83" s="32">
        <f t="shared" si="130"/>
        <v>0</v>
      </c>
      <c r="AE83" s="32">
        <f t="shared" si="130"/>
        <v>0</v>
      </c>
      <c r="AF83" s="32">
        <f t="shared" si="130"/>
        <v>0</v>
      </c>
      <c r="AG83" s="32">
        <f t="shared" si="130"/>
        <v>0</v>
      </c>
      <c r="AH83" s="32">
        <f t="shared" si="130"/>
        <v>0</v>
      </c>
    </row>
    <row r="84" spans="2:34" x14ac:dyDescent="0.25">
      <c r="C84" s="28" t="s">
        <v>0</v>
      </c>
      <c r="I84" s="17" t="s">
        <v>0</v>
      </c>
      <c r="J84" s="17" t="s">
        <v>0</v>
      </c>
      <c r="K84" s="17" t="s">
        <v>0</v>
      </c>
      <c r="L84" s="17" t="s">
        <v>0</v>
      </c>
      <c r="M84" s="17" t="s">
        <v>0</v>
      </c>
      <c r="N84" s="17" t="s">
        <v>0</v>
      </c>
      <c r="O84" s="17" t="s">
        <v>0</v>
      </c>
      <c r="P84" s="17" t="s">
        <v>0</v>
      </c>
      <c r="Q84" s="17" t="s">
        <v>0</v>
      </c>
      <c r="R84" s="17" t="s">
        <v>0</v>
      </c>
      <c r="S84" s="17" t="s">
        <v>0</v>
      </c>
      <c r="T84" s="17" t="s">
        <v>0</v>
      </c>
      <c r="U84" s="17" t="s">
        <v>0</v>
      </c>
      <c r="V84" s="17" t="s">
        <v>0</v>
      </c>
      <c r="W84" s="17" t="s">
        <v>0</v>
      </c>
      <c r="X84" s="17" t="s">
        <v>0</v>
      </c>
      <c r="Y84" s="17" t="s">
        <v>0</v>
      </c>
      <c r="Z84" s="17" t="s">
        <v>0</v>
      </c>
      <c r="AA84" s="17" t="s">
        <v>0</v>
      </c>
      <c r="AB84" s="17" t="s">
        <v>0</v>
      </c>
      <c r="AC84" s="17" t="s">
        <v>0</v>
      </c>
      <c r="AD84" s="17" t="s">
        <v>0</v>
      </c>
      <c r="AE84" s="17" t="s">
        <v>0</v>
      </c>
      <c r="AF84" s="17" t="s">
        <v>0</v>
      </c>
      <c r="AG84" s="17" t="s">
        <v>0</v>
      </c>
      <c r="AH84" s="17" t="s">
        <v>0</v>
      </c>
    </row>
    <row r="85" spans="2:34" x14ac:dyDescent="0.25">
      <c r="C85" s="28" t="s">
        <v>199</v>
      </c>
      <c r="I85" s="17">
        <v>4.5199999999999996</v>
      </c>
      <c r="J85" s="17">
        <v>1.28</v>
      </c>
      <c r="K85" s="17">
        <v>1.4</v>
      </c>
      <c r="L85" s="17">
        <v>1.59</v>
      </c>
      <c r="M85" s="32">
        <f>M80/M86</f>
        <v>1.3846493780963478</v>
      </c>
      <c r="N85" s="32">
        <f t="shared" ref="N85:W85" si="131">N80/N86</f>
        <v>1.4078505015721954</v>
      </c>
      <c r="O85" s="32">
        <f t="shared" si="131"/>
        <v>1.4513816323495514</v>
      </c>
      <c r="P85" s="32">
        <f t="shared" si="131"/>
        <v>1.492881288866396</v>
      </c>
      <c r="Q85" s="32">
        <f t="shared" si="131"/>
        <v>1.5321490895235612</v>
      </c>
      <c r="R85" s="32">
        <f t="shared" si="131"/>
        <v>1.5689769575480812</v>
      </c>
      <c r="S85" s="32">
        <f t="shared" si="131"/>
        <v>1.6031488561418539</v>
      </c>
      <c r="T85" s="32">
        <f t="shared" si="131"/>
        <v>1.6344405126481529</v>
      </c>
      <c r="U85" s="32">
        <f t="shared" si="131"/>
        <v>1.662619131176174</v>
      </c>
      <c r="V85" s="32">
        <f t="shared" si="131"/>
        <v>1.6874430930926057</v>
      </c>
      <c r="W85" s="32">
        <f t="shared" si="131"/>
        <v>1.708661644756057</v>
      </c>
      <c r="X85" s="32" t="e">
        <f t="shared" ref="X85:AH85" si="132">X80/X86</f>
        <v>#DIV/0!</v>
      </c>
      <c r="Y85" s="32" t="e">
        <f t="shared" si="132"/>
        <v>#DIV/0!</v>
      </c>
      <c r="Z85" s="32" t="e">
        <f t="shared" si="132"/>
        <v>#DIV/0!</v>
      </c>
      <c r="AA85" s="32" t="e">
        <f t="shared" si="132"/>
        <v>#DIV/0!</v>
      </c>
      <c r="AB85" s="32" t="e">
        <f t="shared" si="132"/>
        <v>#DIV/0!</v>
      </c>
      <c r="AC85" s="32" t="e">
        <f t="shared" si="132"/>
        <v>#DIV/0!</v>
      </c>
      <c r="AD85" s="32" t="e">
        <f t="shared" si="132"/>
        <v>#DIV/0!</v>
      </c>
      <c r="AE85" s="32" t="e">
        <f t="shared" si="132"/>
        <v>#DIV/0!</v>
      </c>
      <c r="AF85" s="32" t="e">
        <f t="shared" si="132"/>
        <v>#DIV/0!</v>
      </c>
      <c r="AG85" s="32" t="e">
        <f t="shared" si="132"/>
        <v>#DIV/0!</v>
      </c>
      <c r="AH85" s="32" t="e">
        <f t="shared" si="132"/>
        <v>#DIV/0!</v>
      </c>
    </row>
    <row r="86" spans="2:34" x14ac:dyDescent="0.25">
      <c r="C86" s="28" t="s">
        <v>203</v>
      </c>
      <c r="I86" s="17">
        <v>241151</v>
      </c>
      <c r="J86" s="17">
        <v>966647</v>
      </c>
      <c r="K86" s="17">
        <v>974798</v>
      </c>
      <c r="L86" s="17">
        <v>977563</v>
      </c>
      <c r="M86" s="32">
        <f>L86</f>
        <v>977563</v>
      </c>
      <c r="N86" s="32">
        <f t="shared" ref="N86:W86" si="133">M86*N10</f>
        <v>977563</v>
      </c>
      <c r="O86" s="32">
        <f t="shared" si="133"/>
        <v>977563</v>
      </c>
      <c r="P86" s="32">
        <f t="shared" si="133"/>
        <v>977563</v>
      </c>
      <c r="Q86" s="32">
        <f t="shared" si="133"/>
        <v>977563</v>
      </c>
      <c r="R86" s="32">
        <f t="shared" si="133"/>
        <v>977563</v>
      </c>
      <c r="S86" s="32">
        <f t="shared" si="133"/>
        <v>977563</v>
      </c>
      <c r="T86" s="32">
        <f t="shared" si="133"/>
        <v>977563</v>
      </c>
      <c r="U86" s="32">
        <f t="shared" si="133"/>
        <v>977563</v>
      </c>
      <c r="V86" s="32">
        <f t="shared" si="133"/>
        <v>977563</v>
      </c>
      <c r="W86" s="32">
        <f t="shared" si="133"/>
        <v>977563</v>
      </c>
      <c r="X86" s="32">
        <f t="shared" ref="X86:AH86" si="134">W86*X10</f>
        <v>0</v>
      </c>
      <c r="Y86" s="32">
        <f t="shared" si="134"/>
        <v>0</v>
      </c>
      <c r="Z86" s="32">
        <f t="shared" si="134"/>
        <v>0</v>
      </c>
      <c r="AA86" s="32">
        <f t="shared" si="134"/>
        <v>0</v>
      </c>
      <c r="AB86" s="32">
        <f t="shared" si="134"/>
        <v>0</v>
      </c>
      <c r="AC86" s="32">
        <f t="shared" si="134"/>
        <v>0</v>
      </c>
      <c r="AD86" s="32">
        <f t="shared" si="134"/>
        <v>0</v>
      </c>
      <c r="AE86" s="32">
        <f t="shared" si="134"/>
        <v>0</v>
      </c>
      <c r="AF86" s="32">
        <f t="shared" si="134"/>
        <v>0</v>
      </c>
      <c r="AG86" s="32">
        <f t="shared" si="134"/>
        <v>0</v>
      </c>
      <c r="AH86" s="32">
        <f t="shared" si="134"/>
        <v>0</v>
      </c>
    </row>
    <row r="87" spans="2:34" x14ac:dyDescent="0.25">
      <c r="I87" s="17"/>
      <c r="J87" s="17"/>
      <c r="K87" s="17"/>
      <c r="L87" s="17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spans="2:34" x14ac:dyDescent="0.25">
      <c r="B88" s="2"/>
      <c r="C88" s="2" t="s">
        <v>1646</v>
      </c>
      <c r="D88" s="2"/>
      <c r="E88" s="2"/>
      <c r="F88" s="2"/>
      <c r="G88" s="2"/>
      <c r="H88" s="2"/>
      <c r="I88" s="20"/>
      <c r="J88" s="20"/>
      <c r="K88" s="20"/>
      <c r="L88" s="2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2:34" x14ac:dyDescent="0.25">
      <c r="I89" s="32"/>
      <c r="J89" s="32"/>
      <c r="K89" s="32"/>
      <c r="L89" s="32"/>
    </row>
    <row r="90" spans="2:34" x14ac:dyDescent="0.25">
      <c r="C90" s="28" t="s">
        <v>1647</v>
      </c>
      <c r="I90" s="29">
        <f>I97/I65</f>
        <v>3.959101047981374E-2</v>
      </c>
      <c r="J90" s="29">
        <f>J97/J65</f>
        <v>4.1267155237422339E-2</v>
      </c>
      <c r="K90" s="29">
        <f t="shared" ref="K90:W90" si="135">K97/K65</f>
        <v>4.4905345349569713E-2</v>
      </c>
      <c r="L90" s="29">
        <f t="shared" si="135"/>
        <v>4.6865928205075236E-2</v>
      </c>
      <c r="M90" s="29">
        <f t="shared" si="135"/>
        <v>0</v>
      </c>
      <c r="N90" s="29">
        <f t="shared" si="135"/>
        <v>4.9468494869441486E-2</v>
      </c>
      <c r="O90" s="29">
        <f t="shared" si="135"/>
        <v>5.1588081280755503E-2</v>
      </c>
      <c r="P90" s="29">
        <f t="shared" si="135"/>
        <v>5.3282071921900931E-2</v>
      </c>
      <c r="Q90" s="29">
        <f t="shared" si="135"/>
        <v>5.4599973409445543E-2</v>
      </c>
      <c r="R90" s="29">
        <f t="shared" si="135"/>
        <v>5.5584688931635269E-2</v>
      </c>
      <c r="S90" s="29">
        <f t="shared" si="135"/>
        <v>5.6273555413030148E-2</v>
      </c>
      <c r="T90" s="29">
        <f t="shared" si="135"/>
        <v>5.6699193216631909E-2</v>
      </c>
      <c r="U90" s="29">
        <f t="shared" si="135"/>
        <v>5.6890206607635184E-2</v>
      </c>
      <c r="V90" s="29">
        <f t="shared" si="135"/>
        <v>5.6871764561074803E-2</v>
      </c>
      <c r="W90" s="29">
        <f t="shared" si="135"/>
        <v>5.6511814099195104E-2</v>
      </c>
      <c r="X90" s="29">
        <f t="shared" ref="X90:AH90" si="136">W90*X$10</f>
        <v>0</v>
      </c>
      <c r="Y90" s="29">
        <f t="shared" si="136"/>
        <v>0</v>
      </c>
      <c r="Z90" s="29">
        <f t="shared" si="136"/>
        <v>0</v>
      </c>
      <c r="AA90" s="29">
        <f t="shared" si="136"/>
        <v>0</v>
      </c>
      <c r="AB90" s="29">
        <f t="shared" si="136"/>
        <v>0</v>
      </c>
      <c r="AC90" s="29">
        <f t="shared" si="136"/>
        <v>0</v>
      </c>
      <c r="AD90" s="29">
        <f t="shared" si="136"/>
        <v>0</v>
      </c>
      <c r="AE90" s="29">
        <f t="shared" si="136"/>
        <v>0</v>
      </c>
      <c r="AF90" s="29">
        <f t="shared" si="136"/>
        <v>0</v>
      </c>
      <c r="AG90" s="29">
        <f t="shared" si="136"/>
        <v>0</v>
      </c>
      <c r="AH90" s="29">
        <f t="shared" si="136"/>
        <v>0</v>
      </c>
    </row>
    <row r="91" spans="2:34" x14ac:dyDescent="0.25">
      <c r="C91" s="28" t="s">
        <v>1648</v>
      </c>
      <c r="I91" s="29">
        <f>I117/I65</f>
        <v>-9.6388350379800064E-2</v>
      </c>
      <c r="J91" s="29">
        <f t="shared" ref="J91:W91" si="137">J117/J65</f>
        <v>-0.13351430333183617</v>
      </c>
      <c r="K91" s="29">
        <f>K117/K65</f>
        <v>-0.12060687925834995</v>
      </c>
      <c r="L91" s="29">
        <f t="shared" si="137"/>
        <v>-0.12244354263584908</v>
      </c>
      <c r="M91" s="29">
        <f t="shared" si="137"/>
        <v>0</v>
      </c>
      <c r="N91" s="29">
        <f t="shared" si="137"/>
        <v>-0.1079056782289446</v>
      </c>
      <c r="O91" s="29">
        <f t="shared" si="137"/>
        <v>-9.9975535984272917E-2</v>
      </c>
      <c r="P91" s="29">
        <f t="shared" si="137"/>
        <v>-9.2592176530732581E-2</v>
      </c>
      <c r="Q91" s="29">
        <f t="shared" si="137"/>
        <v>-8.5701905385522165E-2</v>
      </c>
      <c r="R91" s="29">
        <f t="shared" si="137"/>
        <v>-7.9257870932382124E-2</v>
      </c>
      <c r="S91" s="29">
        <f t="shared" si="137"/>
        <v>-7.3219009346218444E-2</v>
      </c>
      <c r="T91" s="29">
        <f t="shared" si="137"/>
        <v>-6.7549178917771249E-2</v>
      </c>
      <c r="U91" s="29">
        <f t="shared" si="137"/>
        <v>-6.2216445264865534E-2</v>
      </c>
      <c r="V91" s="29">
        <f t="shared" si="137"/>
        <v>-5.719248761431759E-2</v>
      </c>
      <c r="W91" s="29">
        <f t="shared" si="137"/>
        <v>-4.9366685070190659E-2</v>
      </c>
      <c r="X91" s="29">
        <f t="shared" ref="X91:AH91" si="138">W91*X$10</f>
        <v>0</v>
      </c>
      <c r="Y91" s="29">
        <f t="shared" si="138"/>
        <v>0</v>
      </c>
      <c r="Z91" s="29">
        <f t="shared" si="138"/>
        <v>0</v>
      </c>
      <c r="AA91" s="29">
        <f t="shared" si="138"/>
        <v>0</v>
      </c>
      <c r="AB91" s="29">
        <f t="shared" si="138"/>
        <v>0</v>
      </c>
      <c r="AC91" s="29">
        <f t="shared" si="138"/>
        <v>0</v>
      </c>
      <c r="AD91" s="29">
        <f t="shared" si="138"/>
        <v>0</v>
      </c>
      <c r="AE91" s="29">
        <f t="shared" si="138"/>
        <v>0</v>
      </c>
      <c r="AF91" s="29">
        <f t="shared" si="138"/>
        <v>0</v>
      </c>
      <c r="AG91" s="29">
        <f t="shared" si="138"/>
        <v>0</v>
      </c>
      <c r="AH91" s="29">
        <f t="shared" si="138"/>
        <v>0</v>
      </c>
    </row>
    <row r="92" spans="2:34" x14ac:dyDescent="0.25">
      <c r="C92" s="112" t="s">
        <v>1816</v>
      </c>
      <c r="I92" s="32">
        <f>-I117/I24</f>
        <v>86.856519232353179</v>
      </c>
      <c r="J92" s="32">
        <f t="shared" ref="J92:L92" si="139">-J117/J24</f>
        <v>156.80725524475525</v>
      </c>
      <c r="K92" s="32">
        <f t="shared" si="139"/>
        <v>133.3432494637461</v>
      </c>
      <c r="L92" s="32">
        <f t="shared" si="139"/>
        <v>141.95507255054588</v>
      </c>
      <c r="N92" s="68">
        <v>130</v>
      </c>
      <c r="O92" s="32">
        <f>N92-($N$92-$W$92)/10</f>
        <v>125</v>
      </c>
      <c r="P92" s="32">
        <f t="shared" ref="P92:V92" si="140">O92-($N$92-$W$92)/10</f>
        <v>120</v>
      </c>
      <c r="Q92" s="32">
        <f t="shared" si="140"/>
        <v>115</v>
      </c>
      <c r="R92" s="32">
        <f t="shared" si="140"/>
        <v>110</v>
      </c>
      <c r="S92" s="32">
        <f t="shared" si="140"/>
        <v>105</v>
      </c>
      <c r="T92" s="32">
        <f t="shared" si="140"/>
        <v>100</v>
      </c>
      <c r="U92" s="32">
        <f t="shared" si="140"/>
        <v>95</v>
      </c>
      <c r="V92" s="32">
        <f t="shared" si="140"/>
        <v>90</v>
      </c>
      <c r="W92" s="68">
        <v>80</v>
      </c>
    </row>
    <row r="93" spans="2:34" x14ac:dyDescent="0.25">
      <c r="I93" s="32"/>
      <c r="J93" s="32"/>
      <c r="K93" s="32"/>
      <c r="L93" s="32"/>
    </row>
    <row r="94" spans="2:34" x14ac:dyDescent="0.25">
      <c r="C94" s="28" t="s">
        <v>216</v>
      </c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pans="2:34" s="7" customFormat="1" x14ac:dyDescent="0.25">
      <c r="C95" s="7" t="s">
        <v>187</v>
      </c>
      <c r="I95" s="18">
        <f>I78</f>
        <v>1090130</v>
      </c>
      <c r="J95" s="18">
        <f t="shared" ref="J95:AH95" si="141">J78</f>
        <v>1237741</v>
      </c>
      <c r="K95" s="18">
        <f t="shared" si="141"/>
        <v>1362347</v>
      </c>
      <c r="L95" s="18">
        <f t="shared" si="141"/>
        <v>1548363</v>
      </c>
      <c r="M95" s="12">
        <f t="shared" si="141"/>
        <v>1349496</v>
      </c>
      <c r="N95" s="12">
        <f t="shared" si="141"/>
        <v>1372176.55986842</v>
      </c>
      <c r="O95" s="12">
        <f t="shared" si="141"/>
        <v>1414730.9826645246</v>
      </c>
      <c r="P95" s="12">
        <f t="shared" si="141"/>
        <v>1455299.5113881007</v>
      </c>
      <c r="Q95" s="12">
        <f t="shared" si="141"/>
        <v>1493686.2604019211</v>
      </c>
      <c r="R95" s="12">
        <f t="shared" si="141"/>
        <v>1529687.8215515749</v>
      </c>
      <c r="S95" s="12">
        <f t="shared" si="141"/>
        <v>1563093.005256599</v>
      </c>
      <c r="T95" s="12">
        <f t="shared" si="141"/>
        <v>1593682.5708658663</v>
      </c>
      <c r="U95" s="12">
        <f t="shared" si="141"/>
        <v>1621228.9457299742</v>
      </c>
      <c r="V95" s="12">
        <f t="shared" si="141"/>
        <v>1645495.9324128868</v>
      </c>
      <c r="W95" s="12">
        <f t="shared" si="141"/>
        <v>1666238.4034326654</v>
      </c>
      <c r="X95" s="12">
        <f t="shared" si="141"/>
        <v>0</v>
      </c>
      <c r="Y95" s="12">
        <f t="shared" si="141"/>
        <v>0</v>
      </c>
      <c r="Z95" s="12">
        <f t="shared" si="141"/>
        <v>0</v>
      </c>
      <c r="AA95" s="12">
        <f t="shared" si="141"/>
        <v>0</v>
      </c>
      <c r="AB95" s="12">
        <f t="shared" si="141"/>
        <v>0</v>
      </c>
      <c r="AC95" s="12">
        <f t="shared" si="141"/>
        <v>0</v>
      </c>
      <c r="AD95" s="12">
        <f t="shared" si="141"/>
        <v>0</v>
      </c>
      <c r="AE95" s="12">
        <f t="shared" si="141"/>
        <v>0</v>
      </c>
      <c r="AF95" s="12">
        <f t="shared" si="141"/>
        <v>0</v>
      </c>
      <c r="AG95" s="12">
        <f t="shared" si="141"/>
        <v>0</v>
      </c>
      <c r="AH95" s="12">
        <f t="shared" si="141"/>
        <v>0</v>
      </c>
    </row>
    <row r="96" spans="2:34" x14ac:dyDescent="0.25">
      <c r="C96" s="28" t="s">
        <v>217</v>
      </c>
      <c r="I96" s="17" t="s">
        <v>0</v>
      </c>
      <c r="J96" s="17" t="s">
        <v>0</v>
      </c>
      <c r="K96" s="17" t="s">
        <v>0</v>
      </c>
      <c r="L96" s="17" t="s">
        <v>0</v>
      </c>
      <c r="M96" s="17" t="s">
        <v>0</v>
      </c>
      <c r="N96" s="17" t="s">
        <v>0</v>
      </c>
      <c r="O96" s="17" t="s">
        <v>0</v>
      </c>
      <c r="P96" s="17" t="s">
        <v>0</v>
      </c>
      <c r="Q96" s="17" t="s">
        <v>0</v>
      </c>
      <c r="R96" s="17" t="s">
        <v>0</v>
      </c>
      <c r="S96" s="17" t="s">
        <v>0</v>
      </c>
      <c r="T96" s="17" t="s">
        <v>0</v>
      </c>
      <c r="U96" s="17" t="s">
        <v>0</v>
      </c>
      <c r="V96" s="17" t="s">
        <v>0</v>
      </c>
      <c r="W96" s="17" t="s">
        <v>0</v>
      </c>
      <c r="X96" s="17" t="s">
        <v>0</v>
      </c>
      <c r="Y96" s="17" t="s">
        <v>0</v>
      </c>
      <c r="Z96" s="17" t="s">
        <v>0</v>
      </c>
      <c r="AA96" s="17" t="s">
        <v>0</v>
      </c>
      <c r="AB96" s="17" t="s">
        <v>0</v>
      </c>
      <c r="AC96" s="17" t="s">
        <v>0</v>
      </c>
      <c r="AD96" s="17" t="s">
        <v>0</v>
      </c>
      <c r="AE96" s="17" t="s">
        <v>0</v>
      </c>
      <c r="AF96" s="17" t="s">
        <v>0</v>
      </c>
      <c r="AG96" s="17" t="s">
        <v>0</v>
      </c>
      <c r="AH96" s="17" t="s">
        <v>0</v>
      </c>
    </row>
    <row r="97" spans="3:34" x14ac:dyDescent="0.25">
      <c r="C97" s="28" t="s">
        <v>218</v>
      </c>
      <c r="I97" s="17">
        <v>138605</v>
      </c>
      <c r="J97" s="17">
        <v>159684</v>
      </c>
      <c r="K97" s="17">
        <v>190256</v>
      </c>
      <c r="L97" s="17">
        <v>217784</v>
      </c>
      <c r="M97" s="34"/>
      <c r="N97" s="117">
        <f>-PPE!N6</f>
        <v>244444.33369999999</v>
      </c>
      <c r="O97" s="117">
        <f>-PPE!O6</f>
        <v>270671.86977499997</v>
      </c>
      <c r="P97" s="117">
        <f>-PPE!P6</f>
        <v>296428.11720175995</v>
      </c>
      <c r="Q97" s="117">
        <f>-PPE!Q6</f>
        <v>321673.58672596392</v>
      </c>
      <c r="R97" s="117">
        <f>-PPE!R6</f>
        <v>346367.77202979696</v>
      </c>
      <c r="S97" s="117">
        <f>-PPE!S6</f>
        <v>370469.13059552794</v>
      </c>
      <c r="T97" s="117">
        <f>-PPE!T6</f>
        <v>393935.0642606293</v>
      </c>
      <c r="U97" s="117">
        <f>-PPE!U6</f>
        <v>416721.89945990447</v>
      </c>
      <c r="V97" s="117">
        <f>-PPE!V6</f>
        <v>438784.86715002969</v>
      </c>
      <c r="W97" s="117">
        <f>-PPE!W6</f>
        <v>458825.54033762997</v>
      </c>
      <c r="X97" s="34">
        <f t="shared" ref="X97:AH97" si="142">X90*X65</f>
        <v>0</v>
      </c>
      <c r="Y97" s="34">
        <f t="shared" si="142"/>
        <v>0</v>
      </c>
      <c r="Z97" s="34">
        <f t="shared" si="142"/>
        <v>0</v>
      </c>
      <c r="AA97" s="34">
        <f t="shared" si="142"/>
        <v>0</v>
      </c>
      <c r="AB97" s="34">
        <f t="shared" si="142"/>
        <v>0</v>
      </c>
      <c r="AC97" s="34">
        <f t="shared" si="142"/>
        <v>0</v>
      </c>
      <c r="AD97" s="34">
        <f t="shared" si="142"/>
        <v>0</v>
      </c>
      <c r="AE97" s="34">
        <f t="shared" si="142"/>
        <v>0</v>
      </c>
      <c r="AF97" s="34">
        <f t="shared" si="142"/>
        <v>0</v>
      </c>
      <c r="AG97" s="34">
        <f t="shared" si="142"/>
        <v>0</v>
      </c>
      <c r="AH97" s="34">
        <f t="shared" si="142"/>
        <v>0</v>
      </c>
    </row>
    <row r="98" spans="3:34" x14ac:dyDescent="0.25">
      <c r="C98" s="28" t="s">
        <v>651</v>
      </c>
      <c r="I98" s="17">
        <v>1349</v>
      </c>
      <c r="J98" s="17">
        <v>1946</v>
      </c>
      <c r="K98" s="17">
        <v>3914</v>
      </c>
      <c r="L98" s="17">
        <v>354</v>
      </c>
      <c r="M98" s="34">
        <f t="shared" ref="M98" si="143">SUM(M99:M101)</f>
        <v>0</v>
      </c>
      <c r="N98" s="34">
        <f t="shared" ref="N98:AH98" si="144">MAX($I$98:$L$98)*N10</f>
        <v>3914</v>
      </c>
      <c r="O98" s="34">
        <f t="shared" si="144"/>
        <v>3914</v>
      </c>
      <c r="P98" s="34">
        <f t="shared" si="144"/>
        <v>3914</v>
      </c>
      <c r="Q98" s="34">
        <f t="shared" si="144"/>
        <v>3914</v>
      </c>
      <c r="R98" s="34">
        <f t="shared" si="144"/>
        <v>3914</v>
      </c>
      <c r="S98" s="34">
        <f t="shared" si="144"/>
        <v>3914</v>
      </c>
      <c r="T98" s="34">
        <f t="shared" si="144"/>
        <v>3914</v>
      </c>
      <c r="U98" s="34">
        <f t="shared" si="144"/>
        <v>3914</v>
      </c>
      <c r="V98" s="34">
        <f t="shared" si="144"/>
        <v>3914</v>
      </c>
      <c r="W98" s="34">
        <f t="shared" si="144"/>
        <v>3914</v>
      </c>
      <c r="X98" s="34">
        <f t="shared" si="144"/>
        <v>0</v>
      </c>
      <c r="Y98" s="34">
        <f t="shared" si="144"/>
        <v>0</v>
      </c>
      <c r="Z98" s="34">
        <f t="shared" si="144"/>
        <v>0</v>
      </c>
      <c r="AA98" s="34">
        <f t="shared" si="144"/>
        <v>0</v>
      </c>
      <c r="AB98" s="34">
        <f t="shared" si="144"/>
        <v>0</v>
      </c>
      <c r="AC98" s="34">
        <f t="shared" si="144"/>
        <v>0</v>
      </c>
      <c r="AD98" s="34">
        <f t="shared" si="144"/>
        <v>0</v>
      </c>
      <c r="AE98" s="34">
        <f t="shared" si="144"/>
        <v>0</v>
      </c>
      <c r="AF98" s="34">
        <f t="shared" si="144"/>
        <v>0</v>
      </c>
      <c r="AG98" s="34">
        <f t="shared" si="144"/>
        <v>0</v>
      </c>
      <c r="AH98" s="34">
        <f t="shared" si="144"/>
        <v>0</v>
      </c>
    </row>
    <row r="99" spans="3:34" x14ac:dyDescent="0.25">
      <c r="C99" s="28" t="s">
        <v>653</v>
      </c>
      <c r="I99" s="17">
        <v>0</v>
      </c>
      <c r="J99" s="17">
        <v>0</v>
      </c>
      <c r="K99" s="17">
        <v>-4058</v>
      </c>
      <c r="L99" s="17">
        <v>0</v>
      </c>
      <c r="M99" s="34"/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</row>
    <row r="100" spans="3:34" x14ac:dyDescent="0.25">
      <c r="C100" s="28" t="s">
        <v>800</v>
      </c>
      <c r="I100" s="17">
        <v>284</v>
      </c>
      <c r="J100" s="17">
        <v>5347</v>
      </c>
      <c r="K100" s="17">
        <v>2241</v>
      </c>
      <c r="L100" s="17">
        <v>-149</v>
      </c>
      <c r="M100" s="34"/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</row>
    <row r="101" spans="3:34" x14ac:dyDescent="0.25">
      <c r="C101" s="28" t="s">
        <v>230</v>
      </c>
      <c r="G101" s="35"/>
      <c r="I101" s="17">
        <v>38965</v>
      </c>
      <c r="J101" s="17">
        <v>39673</v>
      </c>
      <c r="K101" s="17">
        <v>35234</v>
      </c>
      <c r="L101" s="17">
        <v>38004</v>
      </c>
      <c r="M101" s="34"/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0</v>
      </c>
      <c r="AG101" s="34">
        <v>0</v>
      </c>
      <c r="AH101" s="34">
        <v>0</v>
      </c>
    </row>
    <row r="102" spans="3:34" x14ac:dyDescent="0.25">
      <c r="C102" s="28" t="s">
        <v>231</v>
      </c>
      <c r="G102" s="35"/>
      <c r="I102" s="17">
        <v>-939</v>
      </c>
      <c r="J102" s="17">
        <v>-1846</v>
      </c>
      <c r="K102" s="17">
        <v>-2386</v>
      </c>
      <c r="L102" s="17">
        <v>-13726</v>
      </c>
      <c r="M102" s="34"/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</row>
    <row r="103" spans="3:34" x14ac:dyDescent="0.25">
      <c r="C103" s="28" t="s">
        <v>1651</v>
      </c>
      <c r="G103" s="35"/>
      <c r="I103" s="17">
        <v>16759</v>
      </c>
      <c r="J103" s="17"/>
      <c r="K103" s="17"/>
      <c r="L103" s="17"/>
      <c r="M103" s="34"/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</row>
    <row r="104" spans="3:34" x14ac:dyDescent="0.25">
      <c r="C104" s="28" t="s">
        <v>659</v>
      </c>
      <c r="E104" s="15"/>
      <c r="F104" s="15"/>
      <c r="G104" s="15"/>
      <c r="H104" s="15"/>
      <c r="I104" s="22">
        <v>17017</v>
      </c>
      <c r="J104" s="22">
        <v>9946</v>
      </c>
      <c r="K104" s="22">
        <v>-847</v>
      </c>
      <c r="L104" s="22">
        <v>-13440</v>
      </c>
      <c r="M104" s="16"/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3:34" x14ac:dyDescent="0.25">
      <c r="C105" s="28" t="s">
        <v>239</v>
      </c>
      <c r="E105" s="36"/>
      <c r="F105" s="36"/>
      <c r="G105" s="36"/>
      <c r="H105" s="36"/>
      <c r="I105" s="22" t="s">
        <v>0</v>
      </c>
      <c r="J105" s="22" t="s">
        <v>0</v>
      </c>
      <c r="K105" s="22" t="s">
        <v>0</v>
      </c>
      <c r="L105" s="22" t="s">
        <v>0</v>
      </c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spans="3:34" x14ac:dyDescent="0.25">
      <c r="C106" s="28" t="s">
        <v>240</v>
      </c>
      <c r="E106" s="36"/>
      <c r="F106" s="36"/>
      <c r="G106" s="37"/>
      <c r="H106" s="36"/>
      <c r="I106" s="22">
        <v>-97750</v>
      </c>
      <c r="J106" s="22">
        <v>-123207</v>
      </c>
      <c r="K106" s="22">
        <v>-145385</v>
      </c>
      <c r="L106" s="22">
        <v>-33950</v>
      </c>
      <c r="M106" s="36"/>
      <c r="N106" s="34">
        <f t="shared" ref="N106:AH106" si="145">(M156-N156)*N10</f>
        <v>-65742.942972164718</v>
      </c>
      <c r="O106" s="34">
        <f t="shared" si="145"/>
        <v>-53160.754874851787</v>
      </c>
      <c r="P106" s="34">
        <f t="shared" si="145"/>
        <v>-55111.748472803505</v>
      </c>
      <c r="Q106" s="34">
        <f t="shared" si="145"/>
        <v>-57114.118817887967</v>
      </c>
      <c r="R106" s="34">
        <f t="shared" si="145"/>
        <v>-59169.271822732524</v>
      </c>
      <c r="S106" s="34">
        <f t="shared" si="145"/>
        <v>-61278.661952684401</v>
      </c>
      <c r="T106" s="34">
        <f t="shared" si="145"/>
        <v>-63443.794303875882</v>
      </c>
      <c r="U106" s="34">
        <f t="shared" si="145"/>
        <v>-65666.22678004019</v>
      </c>
      <c r="V106" s="34">
        <f t="shared" si="145"/>
        <v>-67947.572372992989</v>
      </c>
      <c r="W106" s="34">
        <f t="shared" si="145"/>
        <v>-70289.50155185652</v>
      </c>
      <c r="X106" s="34">
        <f t="shared" si="145"/>
        <v>0</v>
      </c>
      <c r="Y106" s="34">
        <f t="shared" si="145"/>
        <v>0</v>
      </c>
      <c r="Z106" s="34">
        <f t="shared" si="145"/>
        <v>0</v>
      </c>
      <c r="AA106" s="34">
        <f t="shared" si="145"/>
        <v>0</v>
      </c>
      <c r="AB106" s="34">
        <f t="shared" si="145"/>
        <v>0</v>
      </c>
      <c r="AC106" s="34">
        <f t="shared" si="145"/>
        <v>0</v>
      </c>
      <c r="AD106" s="34">
        <f t="shared" si="145"/>
        <v>0</v>
      </c>
      <c r="AE106" s="34">
        <f t="shared" si="145"/>
        <v>0</v>
      </c>
      <c r="AF106" s="34">
        <f t="shared" si="145"/>
        <v>0</v>
      </c>
      <c r="AG106" s="34">
        <f t="shared" si="145"/>
        <v>0</v>
      </c>
      <c r="AH106" s="34">
        <f t="shared" si="145"/>
        <v>0</v>
      </c>
    </row>
    <row r="107" spans="3:34" x14ac:dyDescent="0.25">
      <c r="C107" s="28" t="s">
        <v>62</v>
      </c>
      <c r="E107" s="36"/>
      <c r="F107" s="36"/>
      <c r="G107" s="36"/>
      <c r="H107" s="36"/>
      <c r="I107" s="22">
        <v>-18342</v>
      </c>
      <c r="J107" s="22">
        <v>-10989</v>
      </c>
      <c r="K107" s="22">
        <v>-9542</v>
      </c>
      <c r="L107" s="22">
        <v>16705</v>
      </c>
      <c r="M107" s="36"/>
      <c r="N107" s="34">
        <f t="shared" ref="N107:AH107" si="146">(M157-N157)*N10</f>
        <v>-11112.630234149736</v>
      </c>
      <c r="O107" s="34">
        <f t="shared" si="146"/>
        <v>-6454.5815117074962</v>
      </c>
      <c r="P107" s="34">
        <f t="shared" si="146"/>
        <v>-6777.3105872928572</v>
      </c>
      <c r="Q107" s="34">
        <f t="shared" si="146"/>
        <v>-7116.1761166575016</v>
      </c>
      <c r="R107" s="34">
        <f t="shared" si="146"/>
        <v>-7471.9849224904319</v>
      </c>
      <c r="S107" s="34">
        <f t="shared" si="146"/>
        <v>-7845.5841686148779</v>
      </c>
      <c r="T107" s="34">
        <f t="shared" si="146"/>
        <v>-8237.8633770456654</v>
      </c>
      <c r="U107" s="34">
        <f t="shared" si="146"/>
        <v>-8649.7565458979225</v>
      </c>
      <c r="V107" s="34">
        <f t="shared" si="146"/>
        <v>-9082.244373192807</v>
      </c>
      <c r="W107" s="34">
        <f t="shared" si="146"/>
        <v>-9536.3565918524691</v>
      </c>
      <c r="X107" s="34">
        <f t="shared" si="146"/>
        <v>0</v>
      </c>
      <c r="Y107" s="34">
        <f t="shared" si="146"/>
        <v>0</v>
      </c>
      <c r="Z107" s="34">
        <f t="shared" si="146"/>
        <v>0</v>
      </c>
      <c r="AA107" s="34">
        <f t="shared" si="146"/>
        <v>0</v>
      </c>
      <c r="AB107" s="34">
        <f t="shared" si="146"/>
        <v>0</v>
      </c>
      <c r="AC107" s="34">
        <f t="shared" si="146"/>
        <v>0</v>
      </c>
      <c r="AD107" s="34">
        <f t="shared" si="146"/>
        <v>0</v>
      </c>
      <c r="AE107" s="34">
        <f t="shared" si="146"/>
        <v>0</v>
      </c>
      <c r="AF107" s="34">
        <f t="shared" si="146"/>
        <v>0</v>
      </c>
      <c r="AG107" s="34">
        <f t="shared" si="146"/>
        <v>0</v>
      </c>
      <c r="AH107" s="34">
        <f t="shared" si="146"/>
        <v>0</v>
      </c>
    </row>
    <row r="108" spans="3:34" x14ac:dyDescent="0.25">
      <c r="C108" s="28" t="s">
        <v>65</v>
      </c>
      <c r="E108" s="36"/>
      <c r="F108" s="36"/>
      <c r="G108" s="36"/>
      <c r="H108" s="36"/>
      <c r="I108" s="22">
        <v>-10851</v>
      </c>
      <c r="J108" s="22">
        <v>26549</v>
      </c>
      <c r="K108" s="22">
        <v>-3698</v>
      </c>
      <c r="L108" s="22">
        <v>4655</v>
      </c>
      <c r="M108" s="36"/>
      <c r="N108" s="34">
        <f t="shared" ref="N108:AH108" si="147">(M158-N158)*N10</f>
        <v>3220.0213565707454</v>
      </c>
      <c r="O108" s="34">
        <f t="shared" si="147"/>
        <v>-2868.231760070732</v>
      </c>
      <c r="P108" s="34">
        <f t="shared" si="147"/>
        <v>-2973.4955362250403</v>
      </c>
      <c r="Q108" s="34">
        <f t="shared" si="147"/>
        <v>-3081.5312899067649</v>
      </c>
      <c r="R108" s="34">
        <f t="shared" si="147"/>
        <v>-3192.4148756304348</v>
      </c>
      <c r="S108" s="34">
        <f t="shared" si="147"/>
        <v>-3306.2247675206308</v>
      </c>
      <c r="T108" s="34">
        <f t="shared" si="147"/>
        <v>-3423.0421714318873</v>
      </c>
      <c r="U108" s="34">
        <f t="shared" si="147"/>
        <v>-3542.9511423965378</v>
      </c>
      <c r="V108" s="34">
        <f t="shared" si="147"/>
        <v>-3666.0387076654879</v>
      </c>
      <c r="W108" s="34">
        <f t="shared" si="147"/>
        <v>-3792.3949956163706</v>
      </c>
      <c r="X108" s="34">
        <f t="shared" si="147"/>
        <v>0</v>
      </c>
      <c r="Y108" s="34">
        <f t="shared" si="147"/>
        <v>0</v>
      </c>
      <c r="Z108" s="34">
        <f t="shared" si="147"/>
        <v>0</v>
      </c>
      <c r="AA108" s="34">
        <f t="shared" si="147"/>
        <v>0</v>
      </c>
      <c r="AB108" s="34">
        <f t="shared" si="147"/>
        <v>0</v>
      </c>
      <c r="AC108" s="34">
        <f t="shared" si="147"/>
        <v>0</v>
      </c>
      <c r="AD108" s="34">
        <f t="shared" si="147"/>
        <v>0</v>
      </c>
      <c r="AE108" s="34">
        <f t="shared" si="147"/>
        <v>0</v>
      </c>
      <c r="AF108" s="34">
        <f t="shared" si="147"/>
        <v>0</v>
      </c>
      <c r="AG108" s="34">
        <f t="shared" si="147"/>
        <v>0</v>
      </c>
      <c r="AH108" s="34">
        <f t="shared" si="147"/>
        <v>0</v>
      </c>
    </row>
    <row r="109" spans="3:34" x14ac:dyDescent="0.25">
      <c r="C109" s="28" t="s">
        <v>250</v>
      </c>
      <c r="E109" s="36"/>
      <c r="F109" s="36"/>
      <c r="G109" s="36"/>
      <c r="H109" s="36"/>
      <c r="I109" s="22">
        <v>-5156</v>
      </c>
      <c r="J109" s="22">
        <v>-59949</v>
      </c>
      <c r="K109" s="22">
        <v>-71067</v>
      </c>
      <c r="L109" s="22">
        <v>7748</v>
      </c>
      <c r="M109" s="36"/>
      <c r="N109" s="34">
        <f t="shared" ref="N109:AH109" si="148">(M160-N160)*N10</f>
        <v>13356.399662018564</v>
      </c>
      <c r="O109" s="34">
        <f t="shared" si="148"/>
        <v>-2521.4520289778447</v>
      </c>
      <c r="P109" s="34">
        <f t="shared" si="148"/>
        <v>-2613.9890288315801</v>
      </c>
      <c r="Q109" s="34">
        <f t="shared" si="148"/>
        <v>-2708.9628639711154</v>
      </c>
      <c r="R109" s="34">
        <f t="shared" si="148"/>
        <v>-2806.440217822179</v>
      </c>
      <c r="S109" s="34">
        <f t="shared" si="148"/>
        <v>-2906.4900767001163</v>
      </c>
      <c r="T109" s="34">
        <f t="shared" si="148"/>
        <v>-3009.1838283740435</v>
      </c>
      <c r="U109" s="34">
        <f t="shared" si="148"/>
        <v>-3114.595365314839</v>
      </c>
      <c r="V109" s="34">
        <f t="shared" si="148"/>
        <v>-3222.8011928598498</v>
      </c>
      <c r="W109" s="34">
        <f t="shared" si="148"/>
        <v>-3333.8805425355386</v>
      </c>
      <c r="X109" s="34">
        <f t="shared" si="148"/>
        <v>0</v>
      </c>
      <c r="Y109" s="34">
        <f t="shared" si="148"/>
        <v>0</v>
      </c>
      <c r="Z109" s="34">
        <f t="shared" si="148"/>
        <v>0</v>
      </c>
      <c r="AA109" s="34">
        <f t="shared" si="148"/>
        <v>0</v>
      </c>
      <c r="AB109" s="34">
        <f t="shared" si="148"/>
        <v>0</v>
      </c>
      <c r="AC109" s="34">
        <f t="shared" si="148"/>
        <v>0</v>
      </c>
      <c r="AD109" s="34">
        <f t="shared" si="148"/>
        <v>0</v>
      </c>
      <c r="AE109" s="34">
        <f t="shared" si="148"/>
        <v>0</v>
      </c>
      <c r="AF109" s="34">
        <f t="shared" si="148"/>
        <v>0</v>
      </c>
      <c r="AG109" s="34">
        <f t="shared" si="148"/>
        <v>0</v>
      </c>
      <c r="AH109" s="34">
        <f t="shared" si="148"/>
        <v>0</v>
      </c>
    </row>
    <row r="110" spans="3:34" x14ac:dyDescent="0.25">
      <c r="C110" s="28" t="s">
        <v>254</v>
      </c>
      <c r="E110" s="16"/>
      <c r="F110" s="16"/>
      <c r="G110" s="16"/>
      <c r="H110" s="16"/>
      <c r="I110" s="22">
        <v>715</v>
      </c>
      <c r="J110" s="22">
        <v>350</v>
      </c>
      <c r="K110" s="22">
        <v>1064</v>
      </c>
      <c r="L110" s="22">
        <v>478</v>
      </c>
      <c r="M110" s="16"/>
      <c r="N110" s="34">
        <f t="shared" ref="N110:AH110" si="149">(M163-N163)*N10</f>
        <v>0</v>
      </c>
      <c r="O110" s="34">
        <f t="shared" si="149"/>
        <v>0</v>
      </c>
      <c r="P110" s="34">
        <f t="shared" si="149"/>
        <v>0</v>
      </c>
      <c r="Q110" s="34">
        <f t="shared" si="149"/>
        <v>0</v>
      </c>
      <c r="R110" s="34">
        <f t="shared" si="149"/>
        <v>0</v>
      </c>
      <c r="S110" s="34">
        <f t="shared" si="149"/>
        <v>0</v>
      </c>
      <c r="T110" s="34">
        <f t="shared" si="149"/>
        <v>0</v>
      </c>
      <c r="U110" s="34">
        <f t="shared" si="149"/>
        <v>0</v>
      </c>
      <c r="V110" s="34">
        <f t="shared" si="149"/>
        <v>0</v>
      </c>
      <c r="W110" s="34">
        <f t="shared" si="149"/>
        <v>0</v>
      </c>
      <c r="X110" s="34">
        <f t="shared" si="149"/>
        <v>0</v>
      </c>
      <c r="Y110" s="34">
        <f t="shared" si="149"/>
        <v>0</v>
      </c>
      <c r="Z110" s="34">
        <f t="shared" si="149"/>
        <v>0</v>
      </c>
      <c r="AA110" s="34">
        <f t="shared" si="149"/>
        <v>0</v>
      </c>
      <c r="AB110" s="34">
        <f t="shared" si="149"/>
        <v>0</v>
      </c>
      <c r="AC110" s="34">
        <f t="shared" si="149"/>
        <v>0</v>
      </c>
      <c r="AD110" s="34">
        <f t="shared" si="149"/>
        <v>0</v>
      </c>
      <c r="AE110" s="34">
        <f t="shared" si="149"/>
        <v>0</v>
      </c>
      <c r="AF110" s="34">
        <f t="shared" si="149"/>
        <v>0</v>
      </c>
      <c r="AG110" s="34">
        <f t="shared" si="149"/>
        <v>0</v>
      </c>
      <c r="AH110" s="34">
        <f t="shared" si="149"/>
        <v>0</v>
      </c>
    </row>
    <row r="111" spans="3:34" x14ac:dyDescent="0.25">
      <c r="C111" s="28" t="s">
        <v>97</v>
      </c>
      <c r="E111" s="36"/>
      <c r="F111" s="36"/>
      <c r="G111" s="36"/>
      <c r="H111" s="36"/>
      <c r="I111" s="22">
        <v>36306</v>
      </c>
      <c r="J111" s="22">
        <v>18010</v>
      </c>
      <c r="K111" s="22">
        <v>59528</v>
      </c>
      <c r="L111" s="22">
        <v>69599</v>
      </c>
      <c r="M111" s="36"/>
      <c r="N111" s="34">
        <f t="shared" ref="N111:AH111" si="150">(N170-M170)*N10</f>
        <v>23032.516467733309</v>
      </c>
      <c r="O111" s="34">
        <f t="shared" si="150"/>
        <v>48467.6446122739</v>
      </c>
      <c r="P111" s="34">
        <f t="shared" si="150"/>
        <v>51092.076551688719</v>
      </c>
      <c r="Q111" s="34">
        <f t="shared" si="150"/>
        <v>53819.847829522332</v>
      </c>
      <c r="R111" s="34">
        <f t="shared" si="150"/>
        <v>56654.30170999188</v>
      </c>
      <c r="S111" s="34">
        <f t="shared" si="150"/>
        <v>59598.896706350497</v>
      </c>
      <c r="T111" s="34">
        <f t="shared" si="150"/>
        <v>62657.211431181524</v>
      </c>
      <c r="U111" s="34">
        <f t="shared" si="150"/>
        <v>65832.94968602783</v>
      </c>
      <c r="V111" s="34">
        <f t="shared" si="150"/>
        <v>69129.945803028764</v>
      </c>
      <c r="W111" s="34">
        <f t="shared" si="150"/>
        <v>72552.170251906617</v>
      </c>
      <c r="X111" s="34">
        <f t="shared" si="150"/>
        <v>0</v>
      </c>
      <c r="Y111" s="34">
        <f t="shared" si="150"/>
        <v>0</v>
      </c>
      <c r="Z111" s="34">
        <f t="shared" si="150"/>
        <v>0</v>
      </c>
      <c r="AA111" s="34">
        <f t="shared" si="150"/>
        <v>0</v>
      </c>
      <c r="AB111" s="34">
        <f t="shared" si="150"/>
        <v>0</v>
      </c>
      <c r="AC111" s="34">
        <f t="shared" si="150"/>
        <v>0</v>
      </c>
      <c r="AD111" s="34">
        <f t="shared" si="150"/>
        <v>0</v>
      </c>
      <c r="AE111" s="34">
        <f t="shared" si="150"/>
        <v>0</v>
      </c>
      <c r="AF111" s="34">
        <f t="shared" si="150"/>
        <v>0</v>
      </c>
      <c r="AG111" s="34">
        <f t="shared" si="150"/>
        <v>0</v>
      </c>
      <c r="AH111" s="34">
        <f t="shared" si="150"/>
        <v>0</v>
      </c>
    </row>
    <row r="112" spans="3:34" x14ac:dyDescent="0.25">
      <c r="C112" s="28" t="s">
        <v>100</v>
      </c>
      <c r="I112" s="17">
        <v>-574</v>
      </c>
      <c r="J112" s="17">
        <v>5896</v>
      </c>
      <c r="K112" s="17">
        <v>1867</v>
      </c>
      <c r="L112" s="17">
        <v>2159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</row>
    <row r="113" spans="3:34" x14ac:dyDescent="0.25">
      <c r="C113" s="28" t="s">
        <v>68</v>
      </c>
      <c r="I113" s="17">
        <v>-29884</v>
      </c>
      <c r="J113" s="17">
        <v>33193</v>
      </c>
      <c r="K113" s="17">
        <v>6561</v>
      </c>
      <c r="L113" s="17">
        <v>-575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</row>
    <row r="114" spans="3:34" x14ac:dyDescent="0.25">
      <c r="C114" s="28" t="s">
        <v>103</v>
      </c>
      <c r="I114" s="17">
        <v>49</v>
      </c>
      <c r="J114" s="17">
        <v>21866</v>
      </c>
      <c r="K114" s="17">
        <v>46535</v>
      </c>
      <c r="L114" s="17">
        <v>-44259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</row>
    <row r="115" spans="3:34" ht="15.75" thickBot="1" x14ac:dyDescent="0.3">
      <c r="C115" s="14" t="s">
        <v>272</v>
      </c>
      <c r="D115" s="14"/>
      <c r="E115" s="14"/>
      <c r="F115" s="14"/>
      <c r="G115" s="14"/>
      <c r="H115" s="14"/>
      <c r="I115" s="14">
        <f>SUM(I95:I114)</f>
        <v>1176683</v>
      </c>
      <c r="J115" s="14">
        <f t="shared" ref="J115:AH115" si="151">SUM(J95:J114)</f>
        <v>1364210</v>
      </c>
      <c r="K115" s="14">
        <f t="shared" si="151"/>
        <v>1472564</v>
      </c>
      <c r="L115" s="14">
        <f t="shared" si="151"/>
        <v>1799750</v>
      </c>
      <c r="M115" s="14">
        <f t="shared" si="151"/>
        <v>1349496</v>
      </c>
      <c r="N115" s="14">
        <f t="shared" si="151"/>
        <v>1583288.2578484281</v>
      </c>
      <c r="O115" s="14">
        <f t="shared" si="151"/>
        <v>1672779.4768761906</v>
      </c>
      <c r="P115" s="14">
        <f t="shared" si="151"/>
        <v>1739257.1615163963</v>
      </c>
      <c r="Q115" s="14">
        <f t="shared" si="151"/>
        <v>1803072.9058689843</v>
      </c>
      <c r="R115" s="14">
        <f t="shared" si="151"/>
        <v>1863983.7834526883</v>
      </c>
      <c r="S115" s="14">
        <f t="shared" si="151"/>
        <v>1921738.0715929572</v>
      </c>
      <c r="T115" s="14">
        <f t="shared" si="151"/>
        <v>1976074.9628769495</v>
      </c>
      <c r="U115" s="14">
        <f t="shared" si="151"/>
        <v>2026724.265042257</v>
      </c>
      <c r="V115" s="14">
        <f t="shared" si="151"/>
        <v>2073406.0887192341</v>
      </c>
      <c r="W115" s="14">
        <f t="shared" si="151"/>
        <v>2114577.9803403411</v>
      </c>
      <c r="X115" s="14">
        <f t="shared" si="151"/>
        <v>0</v>
      </c>
      <c r="Y115" s="14">
        <f t="shared" si="151"/>
        <v>0</v>
      </c>
      <c r="Z115" s="14">
        <f t="shared" si="151"/>
        <v>0</v>
      </c>
      <c r="AA115" s="14">
        <f t="shared" si="151"/>
        <v>0</v>
      </c>
      <c r="AB115" s="14">
        <f t="shared" si="151"/>
        <v>0</v>
      </c>
      <c r="AC115" s="14">
        <f t="shared" si="151"/>
        <v>0</v>
      </c>
      <c r="AD115" s="14">
        <f t="shared" si="151"/>
        <v>0</v>
      </c>
      <c r="AE115" s="14">
        <f t="shared" si="151"/>
        <v>0</v>
      </c>
      <c r="AF115" s="14">
        <f t="shared" si="151"/>
        <v>0</v>
      </c>
      <c r="AG115" s="14">
        <f t="shared" si="151"/>
        <v>0</v>
      </c>
      <c r="AH115" s="14">
        <f t="shared" si="151"/>
        <v>0</v>
      </c>
    </row>
    <row r="116" spans="3:34" ht="15.75" thickTop="1" x14ac:dyDescent="0.25">
      <c r="C116" s="28" t="s">
        <v>273</v>
      </c>
      <c r="I116" s="17" t="s">
        <v>0</v>
      </c>
      <c r="J116" s="17" t="s">
        <v>0</v>
      </c>
      <c r="K116" s="17" t="s">
        <v>0</v>
      </c>
      <c r="L116" s="17" t="s">
        <v>0</v>
      </c>
    </row>
    <row r="117" spans="3:34" x14ac:dyDescent="0.25">
      <c r="C117" s="28" t="s">
        <v>274</v>
      </c>
      <c r="I117" s="17">
        <v>-337448</v>
      </c>
      <c r="J117" s="17">
        <v>-516636</v>
      </c>
      <c r="K117" s="17">
        <v>-510990</v>
      </c>
      <c r="L117" s="17">
        <v>-568990</v>
      </c>
      <c r="N117" s="16">
        <f>-N92*N24</f>
        <v>-533206.674</v>
      </c>
      <c r="O117" s="16">
        <f t="shared" ref="O117:W117" si="152">-O92*O24</f>
        <v>-524550.72149999999</v>
      </c>
      <c r="P117" s="16">
        <f t="shared" si="152"/>
        <v>-515124.94853520003</v>
      </c>
      <c r="Q117" s="16">
        <f t="shared" si="152"/>
        <v>-504909.39048407989</v>
      </c>
      <c r="R117" s="16">
        <f t="shared" si="152"/>
        <v>-493883.70607666136</v>
      </c>
      <c r="S117" s="16">
        <f t="shared" si="152"/>
        <v>-482027.1713146189</v>
      </c>
      <c r="T117" s="16">
        <f t="shared" si="152"/>
        <v>-469318.67330202676</v>
      </c>
      <c r="U117" s="16">
        <f t="shared" si="152"/>
        <v>-455736.70398550306</v>
      </c>
      <c r="V117" s="16">
        <f t="shared" si="152"/>
        <v>-441259.35380250483</v>
      </c>
      <c r="W117" s="16">
        <f t="shared" si="152"/>
        <v>-400813.46375200601</v>
      </c>
      <c r="X117" s="16">
        <f t="shared" ref="X117:AH117" si="153">X91*X65</f>
        <v>0</v>
      </c>
      <c r="Y117" s="16">
        <f t="shared" si="153"/>
        <v>0</v>
      </c>
      <c r="Z117" s="16">
        <f t="shared" si="153"/>
        <v>0</v>
      </c>
      <c r="AA117" s="16">
        <f t="shared" si="153"/>
        <v>0</v>
      </c>
      <c r="AB117" s="16">
        <f t="shared" si="153"/>
        <v>0</v>
      </c>
      <c r="AC117" s="16">
        <f t="shared" si="153"/>
        <v>0</v>
      </c>
      <c r="AD117" s="16">
        <f t="shared" si="153"/>
        <v>0</v>
      </c>
      <c r="AE117" s="16">
        <f t="shared" si="153"/>
        <v>0</v>
      </c>
      <c r="AF117" s="16">
        <f t="shared" si="153"/>
        <v>0</v>
      </c>
      <c r="AG117" s="16">
        <f t="shared" si="153"/>
        <v>0</v>
      </c>
      <c r="AH117" s="16">
        <f t="shared" si="153"/>
        <v>0</v>
      </c>
    </row>
    <row r="118" spans="3:34" x14ac:dyDescent="0.25">
      <c r="C118" s="28" t="s">
        <v>671</v>
      </c>
      <c r="F118" s="35"/>
      <c r="I118" s="17">
        <v>-106604</v>
      </c>
      <c r="J118" s="17">
        <v>0</v>
      </c>
      <c r="K118" s="17">
        <v>17662</v>
      </c>
      <c r="L118" s="17">
        <v>-1223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3:34" x14ac:dyDescent="0.25">
      <c r="C119" s="28" t="s">
        <v>277</v>
      </c>
      <c r="F119" s="35"/>
      <c r="G119" s="35"/>
      <c r="H119" s="35"/>
      <c r="I119" s="17">
        <v>4333</v>
      </c>
      <c r="J119" s="17">
        <v>33919</v>
      </c>
      <c r="K119" s="17">
        <v>4166</v>
      </c>
      <c r="L119" s="17">
        <v>31831</v>
      </c>
      <c r="M119" s="35"/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3:34" x14ac:dyDescent="0.25">
      <c r="C120" s="28" t="s">
        <v>457</v>
      </c>
      <c r="F120" s="35"/>
      <c r="G120" s="35"/>
      <c r="I120" s="17">
        <v>-374866</v>
      </c>
      <c r="J120" s="17">
        <v>-1406588</v>
      </c>
      <c r="K120" s="17">
        <v>-4087162</v>
      </c>
      <c r="L120" s="17">
        <v>-4001918</v>
      </c>
      <c r="M120" s="35"/>
      <c r="N120" s="34">
        <f t="shared" ref="N120:AH120" si="154">M121*N10</f>
        <v>0</v>
      </c>
      <c r="O120" s="34">
        <f t="shared" si="154"/>
        <v>0</v>
      </c>
      <c r="P120" s="34">
        <f t="shared" si="154"/>
        <v>0</v>
      </c>
      <c r="Q120" s="34">
        <f t="shared" si="154"/>
        <v>0</v>
      </c>
      <c r="R120" s="34">
        <f t="shared" si="154"/>
        <v>0</v>
      </c>
      <c r="S120" s="34">
        <f t="shared" si="154"/>
        <v>0</v>
      </c>
      <c r="T120" s="34">
        <f t="shared" si="154"/>
        <v>0</v>
      </c>
      <c r="U120" s="34">
        <f t="shared" si="154"/>
        <v>0</v>
      </c>
      <c r="V120" s="34">
        <f t="shared" si="154"/>
        <v>0</v>
      </c>
      <c r="W120" s="34">
        <f t="shared" si="154"/>
        <v>0</v>
      </c>
      <c r="X120" s="34">
        <f t="shared" si="154"/>
        <v>0</v>
      </c>
      <c r="Y120" s="34">
        <f t="shared" si="154"/>
        <v>0</v>
      </c>
      <c r="Z120" s="34">
        <f t="shared" si="154"/>
        <v>0</v>
      </c>
      <c r="AA120" s="34">
        <f t="shared" si="154"/>
        <v>0</v>
      </c>
      <c r="AB120" s="34">
        <f t="shared" si="154"/>
        <v>0</v>
      </c>
      <c r="AC120" s="34">
        <f t="shared" si="154"/>
        <v>0</v>
      </c>
      <c r="AD120" s="34">
        <f t="shared" si="154"/>
        <v>0</v>
      </c>
      <c r="AE120" s="34">
        <f t="shared" si="154"/>
        <v>0</v>
      </c>
      <c r="AF120" s="34">
        <f t="shared" si="154"/>
        <v>0</v>
      </c>
      <c r="AG120" s="34">
        <f t="shared" si="154"/>
        <v>0</v>
      </c>
      <c r="AH120" s="34">
        <f t="shared" si="154"/>
        <v>0</v>
      </c>
    </row>
    <row r="121" spans="3:34" x14ac:dyDescent="0.25">
      <c r="C121" s="28" t="s">
        <v>819</v>
      </c>
      <c r="I121" s="17">
        <v>374866</v>
      </c>
      <c r="J121" s="17">
        <v>0</v>
      </c>
      <c r="K121" s="17">
        <v>3645000</v>
      </c>
      <c r="L121" s="17">
        <v>3960000</v>
      </c>
      <c r="M121" s="35"/>
      <c r="N121" s="34">
        <f t="shared" ref="N121:AH121" si="155">N120+N119*N10</f>
        <v>0</v>
      </c>
      <c r="O121" s="34">
        <f t="shared" si="155"/>
        <v>0</v>
      </c>
      <c r="P121" s="34">
        <f t="shared" si="155"/>
        <v>0</v>
      </c>
      <c r="Q121" s="34">
        <f t="shared" si="155"/>
        <v>0</v>
      </c>
      <c r="R121" s="34">
        <f t="shared" si="155"/>
        <v>0</v>
      </c>
      <c r="S121" s="34">
        <f t="shared" si="155"/>
        <v>0</v>
      </c>
      <c r="T121" s="34">
        <f t="shared" si="155"/>
        <v>0</v>
      </c>
      <c r="U121" s="34">
        <f t="shared" si="155"/>
        <v>0</v>
      </c>
      <c r="V121" s="34">
        <f t="shared" si="155"/>
        <v>0</v>
      </c>
      <c r="W121" s="34">
        <f t="shared" si="155"/>
        <v>0</v>
      </c>
      <c r="X121" s="34">
        <f t="shared" si="155"/>
        <v>0</v>
      </c>
      <c r="Y121" s="34">
        <f t="shared" si="155"/>
        <v>0</v>
      </c>
      <c r="Z121" s="34">
        <f t="shared" si="155"/>
        <v>0</v>
      </c>
      <c r="AA121" s="34">
        <f t="shared" si="155"/>
        <v>0</v>
      </c>
      <c r="AB121" s="34">
        <f t="shared" si="155"/>
        <v>0</v>
      </c>
      <c r="AC121" s="34">
        <f t="shared" si="155"/>
        <v>0</v>
      </c>
      <c r="AD121" s="34">
        <f t="shared" si="155"/>
        <v>0</v>
      </c>
      <c r="AE121" s="34">
        <f t="shared" si="155"/>
        <v>0</v>
      </c>
      <c r="AF121" s="34">
        <f t="shared" si="155"/>
        <v>0</v>
      </c>
      <c r="AG121" s="34">
        <f t="shared" si="155"/>
        <v>0</v>
      </c>
      <c r="AH121" s="34">
        <f t="shared" si="155"/>
        <v>0</v>
      </c>
    </row>
    <row r="122" spans="3:34" x14ac:dyDescent="0.25">
      <c r="C122" s="28" t="s">
        <v>281</v>
      </c>
      <c r="I122" s="17">
        <v>-2591</v>
      </c>
      <c r="J122" s="17">
        <v>-2744</v>
      </c>
      <c r="K122" s="17">
        <v>-8755</v>
      </c>
      <c r="L122" s="17">
        <v>-7148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</row>
    <row r="123" spans="3:34" ht="15.75" thickBot="1" x14ac:dyDescent="0.3">
      <c r="C123" s="14" t="s">
        <v>287</v>
      </c>
      <c r="D123" s="14"/>
      <c r="E123" s="14"/>
      <c r="F123" s="14"/>
      <c r="G123" s="14"/>
      <c r="H123" s="14"/>
      <c r="I123" s="14">
        <f>SUM(I117:I122)</f>
        <v>-442310</v>
      </c>
      <c r="J123" s="14">
        <f t="shared" ref="J123:AH123" si="156">SUM(J117:J122)</f>
        <v>-1892049</v>
      </c>
      <c r="K123" s="14">
        <f t="shared" si="156"/>
        <v>-940079</v>
      </c>
      <c r="L123" s="14">
        <f t="shared" si="156"/>
        <v>-587448</v>
      </c>
      <c r="M123" s="14">
        <f t="shared" si="156"/>
        <v>0</v>
      </c>
      <c r="N123" s="14">
        <f t="shared" si="156"/>
        <v>-533206.674</v>
      </c>
      <c r="O123" s="14">
        <f t="shared" si="156"/>
        <v>-524550.72149999999</v>
      </c>
      <c r="P123" s="14">
        <f t="shared" si="156"/>
        <v>-515124.94853520003</v>
      </c>
      <c r="Q123" s="14">
        <f t="shared" si="156"/>
        <v>-504909.39048407989</v>
      </c>
      <c r="R123" s="14">
        <f t="shared" si="156"/>
        <v>-493883.70607666136</v>
      </c>
      <c r="S123" s="14">
        <f t="shared" si="156"/>
        <v>-482027.1713146189</v>
      </c>
      <c r="T123" s="14">
        <f t="shared" si="156"/>
        <v>-469318.67330202676</v>
      </c>
      <c r="U123" s="14">
        <f t="shared" si="156"/>
        <v>-455736.70398550306</v>
      </c>
      <c r="V123" s="14">
        <f t="shared" si="156"/>
        <v>-441259.35380250483</v>
      </c>
      <c r="W123" s="14">
        <f t="shared" si="156"/>
        <v>-400813.46375200601</v>
      </c>
      <c r="X123" s="14">
        <f t="shared" si="156"/>
        <v>0</v>
      </c>
      <c r="Y123" s="14">
        <f t="shared" si="156"/>
        <v>0</v>
      </c>
      <c r="Z123" s="14">
        <f t="shared" si="156"/>
        <v>0</v>
      </c>
      <c r="AA123" s="14">
        <f t="shared" si="156"/>
        <v>0</v>
      </c>
      <c r="AB123" s="14">
        <f t="shared" si="156"/>
        <v>0</v>
      </c>
      <c r="AC123" s="14">
        <f t="shared" si="156"/>
        <v>0</v>
      </c>
      <c r="AD123" s="14">
        <f t="shared" si="156"/>
        <v>0</v>
      </c>
      <c r="AE123" s="14">
        <f t="shared" si="156"/>
        <v>0</v>
      </c>
      <c r="AF123" s="14">
        <f t="shared" si="156"/>
        <v>0</v>
      </c>
      <c r="AG123" s="14">
        <f t="shared" si="156"/>
        <v>0</v>
      </c>
      <c r="AH123" s="14">
        <f t="shared" si="156"/>
        <v>0</v>
      </c>
    </row>
    <row r="124" spans="3:34" ht="15.75" thickTop="1" x14ac:dyDescent="0.25">
      <c r="C124" s="28" t="s">
        <v>288</v>
      </c>
      <c r="I124" s="17" t="s">
        <v>0</v>
      </c>
      <c r="J124" s="17" t="s">
        <v>0</v>
      </c>
      <c r="K124" s="17" t="s">
        <v>0</v>
      </c>
      <c r="L124" s="17" t="s">
        <v>0</v>
      </c>
    </row>
    <row r="125" spans="3:34" x14ac:dyDescent="0.25">
      <c r="C125" s="28" t="s">
        <v>289</v>
      </c>
      <c r="I125" s="17">
        <v>28108</v>
      </c>
      <c r="J125" s="17">
        <v>49679</v>
      </c>
      <c r="K125" s="17">
        <v>24260</v>
      </c>
      <c r="L125" s="17">
        <v>42759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</row>
    <row r="126" spans="3:34" x14ac:dyDescent="0.25">
      <c r="C126" s="28" t="s">
        <v>291</v>
      </c>
      <c r="I126" s="17">
        <v>9625</v>
      </c>
      <c r="J126" s="17">
        <v>11098</v>
      </c>
      <c r="K126" s="17">
        <v>12406</v>
      </c>
      <c r="L126" s="17">
        <v>14679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</row>
    <row r="127" spans="3:34" x14ac:dyDescent="0.25">
      <c r="C127" s="28" t="s">
        <v>292</v>
      </c>
      <c r="I127" s="17">
        <v>-1925</v>
      </c>
      <c r="J127" s="17">
        <v>-4709</v>
      </c>
      <c r="K127" s="17">
        <v>-6558</v>
      </c>
      <c r="L127" s="17">
        <v>-5282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</row>
    <row r="128" spans="3:34" x14ac:dyDescent="0.25">
      <c r="C128" s="28" t="s">
        <v>541</v>
      </c>
      <c r="I128" s="17">
        <v>0</v>
      </c>
      <c r="J128" s="17">
        <v>44494</v>
      </c>
      <c r="K128" s="17">
        <v>0</v>
      </c>
      <c r="L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</row>
    <row r="129" spans="2:34" x14ac:dyDescent="0.25">
      <c r="C129" s="28" t="s">
        <v>543</v>
      </c>
      <c r="I129" s="17">
        <v>0</v>
      </c>
      <c r="J129" s="17">
        <v>-33924</v>
      </c>
      <c r="K129" s="17">
        <v>-10821</v>
      </c>
      <c r="L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</row>
    <row r="130" spans="2:34" x14ac:dyDescent="0.25">
      <c r="C130" s="28" t="s">
        <v>294</v>
      </c>
      <c r="I130" s="17">
        <v>-1212</v>
      </c>
      <c r="J130" s="17"/>
      <c r="K130" s="17"/>
      <c r="L130" s="17"/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</row>
    <row r="131" spans="2:34" x14ac:dyDescent="0.25">
      <c r="C131" s="28" t="s">
        <v>1652</v>
      </c>
      <c r="I131" s="17">
        <v>-416759</v>
      </c>
      <c r="J131" s="17"/>
      <c r="K131" s="17"/>
      <c r="L131" s="17"/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</row>
    <row r="132" spans="2:34" x14ac:dyDescent="0.25">
      <c r="C132" s="28" t="s">
        <v>299</v>
      </c>
      <c r="I132" s="17">
        <v>-530</v>
      </c>
      <c r="J132" s="17">
        <v>-23</v>
      </c>
      <c r="K132" s="17">
        <v>-14</v>
      </c>
      <c r="L132" s="17">
        <v>-49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</row>
    <row r="133" spans="2:34" ht="15.75" thickBot="1" x14ac:dyDescent="0.3">
      <c r="C133" s="14" t="s">
        <v>822</v>
      </c>
      <c r="D133" s="14"/>
      <c r="E133" s="14"/>
      <c r="F133" s="14"/>
      <c r="G133" s="14"/>
      <c r="H133" s="14"/>
      <c r="I133" s="14">
        <f>SUM(I125:I132)</f>
        <v>-382693</v>
      </c>
      <c r="J133" s="14">
        <f t="shared" ref="J133:L133" si="157">SUM(J125:J132)</f>
        <v>66615</v>
      </c>
      <c r="K133" s="14">
        <f t="shared" si="157"/>
        <v>19273</v>
      </c>
      <c r="L133" s="14">
        <f t="shared" si="157"/>
        <v>52107</v>
      </c>
      <c r="M133" s="14">
        <f t="shared" ref="M133" si="158">SUM(M125:M132)</f>
        <v>0</v>
      </c>
      <c r="N133" s="14">
        <f t="shared" ref="N133" si="159">SUM(N125:N132)</f>
        <v>0</v>
      </c>
      <c r="O133" s="14">
        <f t="shared" ref="O133" si="160">SUM(O125:O132)</f>
        <v>0</v>
      </c>
      <c r="P133" s="14">
        <f t="shared" ref="P133" si="161">SUM(P125:P132)</f>
        <v>0</v>
      </c>
      <c r="Q133" s="14">
        <f t="shared" ref="Q133" si="162">SUM(Q125:Q132)</f>
        <v>0</v>
      </c>
      <c r="R133" s="14">
        <f t="shared" ref="R133" si="163">SUM(R125:R132)</f>
        <v>0</v>
      </c>
      <c r="S133" s="14">
        <f t="shared" ref="S133" si="164">SUM(S125:S132)</f>
        <v>0</v>
      </c>
      <c r="T133" s="14">
        <f t="shared" ref="T133" si="165">SUM(T125:T132)</f>
        <v>0</v>
      </c>
      <c r="U133" s="14">
        <f t="shared" ref="U133" si="166">SUM(U125:U132)</f>
        <v>0</v>
      </c>
      <c r="V133" s="14">
        <f t="shared" ref="V133" si="167">SUM(V125:V132)</f>
        <v>0</v>
      </c>
      <c r="W133" s="14">
        <f t="shared" ref="W133" si="168">SUM(W125:W132)</f>
        <v>0</v>
      </c>
      <c r="X133" s="14">
        <f t="shared" ref="X133" si="169">SUM(X125:X132)</f>
        <v>0</v>
      </c>
      <c r="Y133" s="14">
        <f t="shared" ref="Y133" si="170">SUM(Y125:Y132)</f>
        <v>0</v>
      </c>
      <c r="Z133" s="14">
        <f t="shared" ref="Z133" si="171">SUM(Z125:Z132)</f>
        <v>0</v>
      </c>
      <c r="AA133" s="14">
        <f t="shared" ref="AA133" si="172">SUM(AA125:AA132)</f>
        <v>0</v>
      </c>
      <c r="AB133" s="14">
        <f t="shared" ref="AB133" si="173">SUM(AB125:AB132)</f>
        <v>0</v>
      </c>
      <c r="AC133" s="14">
        <f t="shared" ref="AC133" si="174">SUM(AC125:AC132)</f>
        <v>0</v>
      </c>
      <c r="AD133" s="14">
        <f t="shared" ref="AD133" si="175">SUM(AD125:AD132)</f>
        <v>0</v>
      </c>
      <c r="AE133" s="14">
        <f t="shared" ref="AE133" si="176">SUM(AE125:AE132)</f>
        <v>0</v>
      </c>
      <c r="AF133" s="14">
        <f t="shared" ref="AF133" si="177">SUM(AF125:AF132)</f>
        <v>0</v>
      </c>
      <c r="AG133" s="14">
        <f t="shared" ref="AG133" si="178">SUM(AG125:AG132)</f>
        <v>0</v>
      </c>
      <c r="AH133" s="14">
        <f t="shared" ref="AH133" si="179">SUM(AH125:AH132)</f>
        <v>0</v>
      </c>
    </row>
    <row r="134" spans="2:34" ht="15.75" thickTop="1" x14ac:dyDescent="0.25">
      <c r="C134" s="28" t="s">
        <v>304</v>
      </c>
      <c r="I134" s="17">
        <v>-15704</v>
      </c>
      <c r="J134" s="17">
        <v>34383</v>
      </c>
      <c r="K134" s="17">
        <v>4958</v>
      </c>
      <c r="L134" s="17">
        <v>2011</v>
      </c>
      <c r="N134" s="17">
        <v>0</v>
      </c>
    </row>
    <row r="135" spans="2:34" s="7" customFormat="1" x14ac:dyDescent="0.25">
      <c r="C135" s="7" t="s">
        <v>824</v>
      </c>
      <c r="I135" s="18">
        <f t="shared" ref="I135:L135" si="180">I115+I123+I133+I134</f>
        <v>335976</v>
      </c>
      <c r="J135" s="18">
        <f t="shared" si="180"/>
        <v>-426841</v>
      </c>
      <c r="K135" s="18">
        <f t="shared" si="180"/>
        <v>556716</v>
      </c>
      <c r="L135" s="18">
        <f t="shared" si="180"/>
        <v>1266420</v>
      </c>
      <c r="N135" s="16">
        <f>N115+N123+N133+N134</f>
        <v>1050081.583848428</v>
      </c>
      <c r="O135" s="16">
        <f t="shared" ref="O135:AH135" si="181">O115+O123+O133+O134</f>
        <v>1148228.7553761906</v>
      </c>
      <c r="P135" s="16">
        <f t="shared" si="181"/>
        <v>1224132.2129811964</v>
      </c>
      <c r="Q135" s="16">
        <f t="shared" si="181"/>
        <v>1298163.5153849043</v>
      </c>
      <c r="R135" s="16">
        <f t="shared" si="181"/>
        <v>1370100.0773760269</v>
      </c>
      <c r="S135" s="16">
        <f t="shared" si="181"/>
        <v>1439710.9002783382</v>
      </c>
      <c r="T135" s="16">
        <f t="shared" si="181"/>
        <v>1506756.2895749228</v>
      </c>
      <c r="U135" s="16">
        <f t="shared" si="181"/>
        <v>1570987.5610567541</v>
      </c>
      <c r="V135" s="16">
        <f t="shared" si="181"/>
        <v>1632146.7349167294</v>
      </c>
      <c r="W135" s="16">
        <f t="shared" si="181"/>
        <v>1713764.5165883352</v>
      </c>
      <c r="X135" s="16">
        <f t="shared" si="181"/>
        <v>0</v>
      </c>
      <c r="Y135" s="16">
        <f t="shared" si="181"/>
        <v>0</v>
      </c>
      <c r="Z135" s="16">
        <f t="shared" si="181"/>
        <v>0</v>
      </c>
      <c r="AA135" s="16">
        <f t="shared" si="181"/>
        <v>0</v>
      </c>
      <c r="AB135" s="16">
        <f t="shared" si="181"/>
        <v>0</v>
      </c>
      <c r="AC135" s="16">
        <f t="shared" si="181"/>
        <v>0</v>
      </c>
      <c r="AD135" s="16">
        <f t="shared" si="181"/>
        <v>0</v>
      </c>
      <c r="AE135" s="16">
        <f t="shared" si="181"/>
        <v>0</v>
      </c>
      <c r="AF135" s="16">
        <f t="shared" si="181"/>
        <v>0</v>
      </c>
      <c r="AG135" s="16">
        <f t="shared" si="181"/>
        <v>0</v>
      </c>
      <c r="AH135" s="16">
        <f t="shared" si="181"/>
        <v>0</v>
      </c>
    </row>
    <row r="136" spans="2:34" x14ac:dyDescent="0.25">
      <c r="C136" s="28" t="s">
        <v>312</v>
      </c>
      <c r="I136" s="17">
        <v>1048260</v>
      </c>
      <c r="J136" s="23">
        <f>I137</f>
        <v>1384236</v>
      </c>
      <c r="K136" s="23">
        <f t="shared" ref="K136:L136" si="182">J137</f>
        <v>957395</v>
      </c>
      <c r="L136" s="23">
        <f t="shared" si="182"/>
        <v>1514111</v>
      </c>
      <c r="M136" s="23">
        <f>L137</f>
        <v>2780531</v>
      </c>
      <c r="N136" s="23">
        <f t="shared" ref="N136:AH136" si="183">M137*N10</f>
        <v>2780531</v>
      </c>
      <c r="O136" s="23">
        <f t="shared" si="183"/>
        <v>3830612.583848428</v>
      </c>
      <c r="P136" s="23">
        <f t="shared" si="183"/>
        <v>4978841.3392246189</v>
      </c>
      <c r="Q136" s="23">
        <f t="shared" si="183"/>
        <v>6202973.552205815</v>
      </c>
      <c r="R136" s="23">
        <f t="shared" si="183"/>
        <v>7501137.0675907191</v>
      </c>
      <c r="S136" s="23">
        <f t="shared" si="183"/>
        <v>8871237.1449667457</v>
      </c>
      <c r="T136" s="23">
        <f t="shared" si="183"/>
        <v>10310948.045245085</v>
      </c>
      <c r="U136" s="23">
        <f t="shared" si="183"/>
        <v>11817704.334820008</v>
      </c>
      <c r="V136" s="23">
        <f t="shared" si="183"/>
        <v>13388691.895876762</v>
      </c>
      <c r="W136" s="23">
        <f t="shared" si="183"/>
        <v>15020838.630793491</v>
      </c>
      <c r="X136" s="23">
        <f t="shared" si="183"/>
        <v>0</v>
      </c>
      <c r="Y136" s="23">
        <f t="shared" si="183"/>
        <v>0</v>
      </c>
      <c r="Z136" s="23">
        <f t="shared" si="183"/>
        <v>0</v>
      </c>
      <c r="AA136" s="23">
        <f t="shared" si="183"/>
        <v>0</v>
      </c>
      <c r="AB136" s="23">
        <f t="shared" si="183"/>
        <v>0</v>
      </c>
      <c r="AC136" s="23">
        <f t="shared" si="183"/>
        <v>0</v>
      </c>
      <c r="AD136" s="23">
        <f t="shared" si="183"/>
        <v>0</v>
      </c>
      <c r="AE136" s="23">
        <f t="shared" si="183"/>
        <v>0</v>
      </c>
      <c r="AF136" s="23">
        <f t="shared" si="183"/>
        <v>0</v>
      </c>
      <c r="AG136" s="23">
        <f t="shared" si="183"/>
        <v>0</v>
      </c>
      <c r="AH136" s="23">
        <f t="shared" si="183"/>
        <v>0</v>
      </c>
    </row>
    <row r="137" spans="2:34" ht="15.75" thickBot="1" x14ac:dyDescent="0.3">
      <c r="C137" s="14" t="s">
        <v>315</v>
      </c>
      <c r="D137" s="14"/>
      <c r="E137" s="14"/>
      <c r="F137" s="14"/>
      <c r="G137" s="14"/>
      <c r="H137" s="14"/>
      <c r="I137" s="14">
        <f>I136+I135</f>
        <v>1384236</v>
      </c>
      <c r="J137" s="14">
        <f t="shared" ref="J137:AH137" si="184">J136+J135</f>
        <v>957395</v>
      </c>
      <c r="K137" s="14">
        <f t="shared" si="184"/>
        <v>1514111</v>
      </c>
      <c r="L137" s="14">
        <f t="shared" si="184"/>
        <v>2780531</v>
      </c>
      <c r="M137" s="14">
        <f t="shared" si="184"/>
        <v>2780531</v>
      </c>
      <c r="N137" s="14">
        <f>N136+N135</f>
        <v>3830612.583848428</v>
      </c>
      <c r="O137" s="14">
        <f t="shared" si="184"/>
        <v>4978841.3392246189</v>
      </c>
      <c r="P137" s="14">
        <f t="shared" si="184"/>
        <v>6202973.552205815</v>
      </c>
      <c r="Q137" s="14">
        <f t="shared" si="184"/>
        <v>7501137.0675907191</v>
      </c>
      <c r="R137" s="14">
        <f t="shared" si="184"/>
        <v>8871237.1449667457</v>
      </c>
      <c r="S137" s="14">
        <f t="shared" si="184"/>
        <v>10310948.045245085</v>
      </c>
      <c r="T137" s="14">
        <f t="shared" si="184"/>
        <v>11817704.334820008</v>
      </c>
      <c r="U137" s="14">
        <f t="shared" si="184"/>
        <v>13388691.895876762</v>
      </c>
      <c r="V137" s="14">
        <f t="shared" si="184"/>
        <v>15020838.630793491</v>
      </c>
      <c r="W137" s="14">
        <f t="shared" si="184"/>
        <v>16734603.147381827</v>
      </c>
      <c r="X137" s="14">
        <f t="shared" si="184"/>
        <v>0</v>
      </c>
      <c r="Y137" s="14">
        <f t="shared" si="184"/>
        <v>0</v>
      </c>
      <c r="Z137" s="14">
        <f t="shared" si="184"/>
        <v>0</v>
      </c>
      <c r="AA137" s="14">
        <f t="shared" si="184"/>
        <v>0</v>
      </c>
      <c r="AB137" s="14">
        <f t="shared" si="184"/>
        <v>0</v>
      </c>
      <c r="AC137" s="14">
        <f t="shared" si="184"/>
        <v>0</v>
      </c>
      <c r="AD137" s="14">
        <f t="shared" si="184"/>
        <v>0</v>
      </c>
      <c r="AE137" s="14">
        <f t="shared" si="184"/>
        <v>0</v>
      </c>
      <c r="AF137" s="14">
        <f t="shared" si="184"/>
        <v>0</v>
      </c>
      <c r="AG137" s="14">
        <f t="shared" si="184"/>
        <v>0</v>
      </c>
      <c r="AH137" s="14">
        <f t="shared" si="184"/>
        <v>0</v>
      </c>
    </row>
    <row r="138" spans="2:34" ht="15.75" thickTop="1" x14ac:dyDescent="0.25">
      <c r="C138" s="28" t="s">
        <v>316</v>
      </c>
      <c r="I138" s="17" t="s">
        <v>0</v>
      </c>
      <c r="J138" s="17" t="s">
        <v>0</v>
      </c>
      <c r="K138" s="17" t="s">
        <v>0</v>
      </c>
      <c r="L138" s="17" t="s">
        <v>0</v>
      </c>
    </row>
    <row r="139" spans="2:34" x14ac:dyDescent="0.25">
      <c r="C139" s="28" t="s">
        <v>317</v>
      </c>
      <c r="I139" s="17">
        <v>18539</v>
      </c>
      <c r="J139" s="17">
        <v>2614</v>
      </c>
      <c r="K139" s="17">
        <v>3127</v>
      </c>
      <c r="L139" s="17">
        <v>2019</v>
      </c>
    </row>
    <row r="140" spans="2:34" x14ac:dyDescent="0.25">
      <c r="C140" s="28" t="s">
        <v>321</v>
      </c>
      <c r="I140" s="17">
        <v>263226</v>
      </c>
      <c r="J140" s="17">
        <v>257514</v>
      </c>
      <c r="K140" s="17">
        <v>285891</v>
      </c>
      <c r="L140" s="17">
        <v>409003</v>
      </c>
    </row>
    <row r="141" spans="2:34" x14ac:dyDescent="0.25">
      <c r="C141" s="28" t="s">
        <v>828</v>
      </c>
      <c r="I141" s="17">
        <v>0</v>
      </c>
      <c r="J141" s="17">
        <v>0</v>
      </c>
      <c r="K141" s="17">
        <v>0</v>
      </c>
      <c r="L141" s="17">
        <v>64050</v>
      </c>
    </row>
    <row r="142" spans="2:34" x14ac:dyDescent="0.25">
      <c r="I142" s="32"/>
      <c r="J142" s="32"/>
      <c r="K142" s="32"/>
      <c r="L142" s="32"/>
      <c r="N142" s="38"/>
    </row>
    <row r="143" spans="2:34" x14ac:dyDescent="0.25">
      <c r="B143" s="2"/>
      <c r="C143" s="2" t="s">
        <v>1649</v>
      </c>
      <c r="D143" s="2"/>
      <c r="E143" s="2"/>
      <c r="F143" s="2"/>
      <c r="G143" s="2"/>
      <c r="H143" s="2"/>
      <c r="I143" s="20"/>
      <c r="J143" s="20"/>
      <c r="K143" s="20"/>
      <c r="L143" s="2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2:34" x14ac:dyDescent="0.25">
      <c r="I144" s="32"/>
      <c r="J144" s="32"/>
      <c r="K144" s="32"/>
      <c r="L144" s="32"/>
    </row>
    <row r="145" spans="3:34" x14ac:dyDescent="0.25">
      <c r="C145" s="28" t="s">
        <v>1654</v>
      </c>
      <c r="I145" s="32"/>
      <c r="J145" s="32"/>
      <c r="K145" s="32"/>
      <c r="L145" s="32"/>
    </row>
    <row r="146" spans="3:34" x14ac:dyDescent="0.25">
      <c r="D146" s="28" t="s">
        <v>1655</v>
      </c>
      <c r="I146" s="32">
        <f>I156/I65*365</f>
        <v>60.32102552442629</v>
      </c>
      <c r="J146" s="32">
        <f>J156/J65*365</f>
        <v>66.221134001702538</v>
      </c>
      <c r="K146" s="32">
        <f>K156/K65*365</f>
        <v>67.702876660176742</v>
      </c>
      <c r="L146" s="32">
        <f>L156/L65*365</f>
        <v>59.915758868489881</v>
      </c>
      <c r="N146" s="68">
        <f>AVERAGE(I146:L146)</f>
        <v>63.540198763698868</v>
      </c>
      <c r="O146" s="32">
        <f>N146*O$10</f>
        <v>63.540198763698868</v>
      </c>
      <c r="P146" s="32">
        <f t="shared" ref="P146:AH148" si="185">O146*P$10</f>
        <v>63.540198763698868</v>
      </c>
      <c r="Q146" s="32">
        <f t="shared" si="185"/>
        <v>63.540198763698868</v>
      </c>
      <c r="R146" s="32">
        <f t="shared" si="185"/>
        <v>63.540198763698868</v>
      </c>
      <c r="S146" s="32">
        <f t="shared" si="185"/>
        <v>63.540198763698868</v>
      </c>
      <c r="T146" s="32">
        <f t="shared" si="185"/>
        <v>63.540198763698868</v>
      </c>
      <c r="U146" s="32">
        <f t="shared" si="185"/>
        <v>63.540198763698868</v>
      </c>
      <c r="V146" s="32">
        <f t="shared" si="185"/>
        <v>63.540198763698868</v>
      </c>
      <c r="W146" s="32">
        <f t="shared" si="185"/>
        <v>63.540198763698868</v>
      </c>
      <c r="X146" s="32">
        <f t="shared" si="185"/>
        <v>0</v>
      </c>
      <c r="Y146" s="32">
        <f t="shared" si="185"/>
        <v>0</v>
      </c>
      <c r="Z146" s="32">
        <f t="shared" si="185"/>
        <v>0</v>
      </c>
      <c r="AA146" s="32">
        <f t="shared" si="185"/>
        <v>0</v>
      </c>
      <c r="AB146" s="32">
        <f t="shared" si="185"/>
        <v>0</v>
      </c>
      <c r="AC146" s="32">
        <f t="shared" si="185"/>
        <v>0</v>
      </c>
      <c r="AD146" s="32">
        <f t="shared" si="185"/>
        <v>0</v>
      </c>
      <c r="AE146" s="32">
        <f t="shared" si="185"/>
        <v>0</v>
      </c>
      <c r="AF146" s="32">
        <f t="shared" si="185"/>
        <v>0</v>
      </c>
      <c r="AG146" s="32">
        <f t="shared" si="185"/>
        <v>0</v>
      </c>
      <c r="AH146" s="32">
        <f t="shared" si="185"/>
        <v>0</v>
      </c>
    </row>
    <row r="147" spans="3:34" x14ac:dyDescent="0.25">
      <c r="D147" s="28" t="s">
        <v>1656</v>
      </c>
      <c r="I147" s="32">
        <f>I170/I70*365</f>
        <v>-68.510167814089314</v>
      </c>
      <c r="J147" s="32">
        <f>J170/J70*365</f>
        <v>-67.519552453703369</v>
      </c>
      <c r="K147" s="32">
        <f>K170/K70*365</f>
        <v>-70.971187331131787</v>
      </c>
      <c r="L147" s="32">
        <f>L170/L70*365</f>
        <v>-73.220491254282706</v>
      </c>
      <c r="N147" s="68">
        <f>AVERAGE(I147:L147)</f>
        <v>-70.055349713301794</v>
      </c>
      <c r="O147" s="32">
        <f t="shared" ref="O147:AD148" si="186">N147*O$10</f>
        <v>-70.055349713301794</v>
      </c>
      <c r="P147" s="32">
        <f t="shared" si="186"/>
        <v>-70.055349713301794</v>
      </c>
      <c r="Q147" s="32">
        <f t="shared" si="186"/>
        <v>-70.055349713301794</v>
      </c>
      <c r="R147" s="32">
        <f t="shared" si="186"/>
        <v>-70.055349713301794</v>
      </c>
      <c r="S147" s="32">
        <f t="shared" si="186"/>
        <v>-70.055349713301794</v>
      </c>
      <c r="T147" s="32">
        <f t="shared" si="186"/>
        <v>-70.055349713301794</v>
      </c>
      <c r="U147" s="32">
        <f t="shared" si="186"/>
        <v>-70.055349713301794</v>
      </c>
      <c r="V147" s="32">
        <f t="shared" si="186"/>
        <v>-70.055349713301794</v>
      </c>
      <c r="W147" s="32">
        <f t="shared" si="186"/>
        <v>-70.055349713301794</v>
      </c>
      <c r="X147" s="32">
        <f t="shared" si="186"/>
        <v>0</v>
      </c>
      <c r="Y147" s="32">
        <f t="shared" si="186"/>
        <v>0</v>
      </c>
      <c r="Z147" s="32">
        <f t="shared" si="186"/>
        <v>0</v>
      </c>
      <c r="AA147" s="32">
        <f t="shared" si="186"/>
        <v>0</v>
      </c>
      <c r="AB147" s="32">
        <f t="shared" si="186"/>
        <v>0</v>
      </c>
      <c r="AC147" s="32">
        <f t="shared" si="186"/>
        <v>0</v>
      </c>
      <c r="AD147" s="32">
        <f t="shared" si="186"/>
        <v>0</v>
      </c>
      <c r="AE147" s="32">
        <f t="shared" si="185"/>
        <v>0</v>
      </c>
      <c r="AF147" s="32">
        <f t="shared" si="185"/>
        <v>0</v>
      </c>
      <c r="AG147" s="32">
        <f t="shared" si="185"/>
        <v>0</v>
      </c>
      <c r="AH147" s="32">
        <f t="shared" si="185"/>
        <v>0</v>
      </c>
    </row>
    <row r="148" spans="3:34" x14ac:dyDescent="0.25">
      <c r="D148" s="28" t="s">
        <v>1657</v>
      </c>
      <c r="I148" s="32">
        <f>I158/I68*365</f>
        <v>-36.668839701778701</v>
      </c>
      <c r="J148" s="32">
        <f>J158/J68*365</f>
        <v>-23.743193631224184</v>
      </c>
      <c r="K148" s="32">
        <f>K158/K68*365</f>
        <v>-25.711976199661979</v>
      </c>
      <c r="L148" s="32">
        <f>L158/L68*365</f>
        <v>-24.007192407259073</v>
      </c>
      <c r="N148" s="68">
        <f>AVERAGE(J148:L148)</f>
        <v>-24.487454079381745</v>
      </c>
      <c r="O148" s="32">
        <f t="shared" si="186"/>
        <v>-24.487454079381745</v>
      </c>
      <c r="P148" s="32">
        <f t="shared" si="185"/>
        <v>-24.487454079381745</v>
      </c>
      <c r="Q148" s="32">
        <f t="shared" si="185"/>
        <v>-24.487454079381745</v>
      </c>
      <c r="R148" s="32">
        <f t="shared" si="185"/>
        <v>-24.487454079381745</v>
      </c>
      <c r="S148" s="32">
        <f t="shared" si="185"/>
        <v>-24.487454079381745</v>
      </c>
      <c r="T148" s="32">
        <f t="shared" si="185"/>
        <v>-24.487454079381745</v>
      </c>
      <c r="U148" s="32">
        <f t="shared" si="185"/>
        <v>-24.487454079381745</v>
      </c>
      <c r="V148" s="32">
        <f t="shared" si="185"/>
        <v>-24.487454079381745</v>
      </c>
      <c r="W148" s="32">
        <f t="shared" si="185"/>
        <v>-24.487454079381745</v>
      </c>
      <c r="X148" s="32">
        <f t="shared" si="185"/>
        <v>0</v>
      </c>
      <c r="Y148" s="32">
        <f t="shared" si="185"/>
        <v>0</v>
      </c>
      <c r="Z148" s="32">
        <f t="shared" si="185"/>
        <v>0</v>
      </c>
      <c r="AA148" s="32">
        <f t="shared" si="185"/>
        <v>0</v>
      </c>
      <c r="AB148" s="32">
        <f t="shared" si="185"/>
        <v>0</v>
      </c>
      <c r="AC148" s="32">
        <f t="shared" si="185"/>
        <v>0</v>
      </c>
      <c r="AD148" s="32">
        <f t="shared" si="185"/>
        <v>0</v>
      </c>
      <c r="AE148" s="32">
        <f t="shared" si="185"/>
        <v>0</v>
      </c>
      <c r="AF148" s="32">
        <f t="shared" si="185"/>
        <v>0</v>
      </c>
      <c r="AG148" s="32">
        <f t="shared" si="185"/>
        <v>0</v>
      </c>
      <c r="AH148" s="32">
        <f t="shared" si="185"/>
        <v>0</v>
      </c>
    </row>
    <row r="149" spans="3:34" x14ac:dyDescent="0.25">
      <c r="D149" s="28" t="s">
        <v>1659</v>
      </c>
      <c r="I149" s="29">
        <f>I157/I64</f>
        <v>0.17324477797620241</v>
      </c>
      <c r="J149" s="29">
        <f t="shared" ref="J149:L149" si="187">J157/J64</f>
        <v>0.18428186300064045</v>
      </c>
      <c r="K149" s="29">
        <f t="shared" si="187"/>
        <v>0.19626202796302572</v>
      </c>
      <c r="L149" s="29">
        <f t="shared" si="187"/>
        <v>0.17123055421232028</v>
      </c>
      <c r="N149" s="76">
        <f>AVERAGE(I149:L149)</f>
        <v>0.1812548057880472</v>
      </c>
      <c r="O149" s="29">
        <f>N149</f>
        <v>0.1812548057880472</v>
      </c>
      <c r="P149" s="29">
        <f t="shared" ref="P149:AH149" si="188">O149</f>
        <v>0.1812548057880472</v>
      </c>
      <c r="Q149" s="29">
        <f t="shared" si="188"/>
        <v>0.1812548057880472</v>
      </c>
      <c r="R149" s="29">
        <f t="shared" si="188"/>
        <v>0.1812548057880472</v>
      </c>
      <c r="S149" s="29">
        <f t="shared" si="188"/>
        <v>0.1812548057880472</v>
      </c>
      <c r="T149" s="29">
        <f t="shared" si="188"/>
        <v>0.1812548057880472</v>
      </c>
      <c r="U149" s="29">
        <f t="shared" si="188"/>
        <v>0.1812548057880472</v>
      </c>
      <c r="V149" s="29">
        <f t="shared" si="188"/>
        <v>0.1812548057880472</v>
      </c>
      <c r="W149" s="29">
        <f t="shared" si="188"/>
        <v>0.1812548057880472</v>
      </c>
      <c r="X149" s="29">
        <f t="shared" si="188"/>
        <v>0.1812548057880472</v>
      </c>
      <c r="Y149" s="29">
        <f t="shared" si="188"/>
        <v>0.1812548057880472</v>
      </c>
      <c r="Z149" s="29">
        <f t="shared" si="188"/>
        <v>0.1812548057880472</v>
      </c>
      <c r="AA149" s="29">
        <f t="shared" si="188"/>
        <v>0.1812548057880472</v>
      </c>
      <c r="AB149" s="29">
        <f t="shared" si="188"/>
        <v>0.1812548057880472</v>
      </c>
      <c r="AC149" s="29">
        <f t="shared" si="188"/>
        <v>0.1812548057880472</v>
      </c>
      <c r="AD149" s="29">
        <f t="shared" si="188"/>
        <v>0.1812548057880472</v>
      </c>
      <c r="AE149" s="29">
        <f t="shared" si="188"/>
        <v>0.1812548057880472</v>
      </c>
      <c r="AF149" s="29">
        <f t="shared" si="188"/>
        <v>0.1812548057880472</v>
      </c>
      <c r="AG149" s="29">
        <f t="shared" si="188"/>
        <v>0.1812548057880472</v>
      </c>
      <c r="AH149" s="29">
        <f t="shared" si="188"/>
        <v>0.1812548057880472</v>
      </c>
    </row>
    <row r="150" spans="3:34" x14ac:dyDescent="0.25">
      <c r="D150" s="28" t="s">
        <v>1658</v>
      </c>
      <c r="I150" s="29">
        <f>I160/I65</f>
        <v>5.3503063908040202E-3</v>
      </c>
      <c r="J150" s="29">
        <f t="shared" ref="J150:L150" si="189">J160/J65</f>
        <v>6.7992964498420731E-3</v>
      </c>
      <c r="K150" s="29">
        <f t="shared" si="189"/>
        <v>7.9946695908703295E-3</v>
      </c>
      <c r="L150" s="29">
        <f t="shared" si="189"/>
        <v>9.9766341765946676E-3</v>
      </c>
      <c r="N150" s="76">
        <f>AVERAGE(J150:L150)</f>
        <v>8.2568667391023573E-3</v>
      </c>
      <c r="O150" s="29">
        <f>N150</f>
        <v>8.2568667391023573E-3</v>
      </c>
      <c r="P150" s="29">
        <f t="shared" ref="P150:AH150" si="190">O150</f>
        <v>8.2568667391023573E-3</v>
      </c>
      <c r="Q150" s="29">
        <f t="shared" si="190"/>
        <v>8.2568667391023573E-3</v>
      </c>
      <c r="R150" s="29">
        <f t="shared" si="190"/>
        <v>8.2568667391023573E-3</v>
      </c>
      <c r="S150" s="29">
        <f t="shared" si="190"/>
        <v>8.2568667391023573E-3</v>
      </c>
      <c r="T150" s="29">
        <f t="shared" si="190"/>
        <v>8.2568667391023573E-3</v>
      </c>
      <c r="U150" s="29">
        <f t="shared" si="190"/>
        <v>8.2568667391023573E-3</v>
      </c>
      <c r="V150" s="29">
        <f t="shared" si="190"/>
        <v>8.2568667391023573E-3</v>
      </c>
      <c r="W150" s="29">
        <f t="shared" si="190"/>
        <v>8.2568667391023573E-3</v>
      </c>
      <c r="X150" s="29">
        <f t="shared" si="190"/>
        <v>8.2568667391023573E-3</v>
      </c>
      <c r="Y150" s="29">
        <f t="shared" si="190"/>
        <v>8.2568667391023573E-3</v>
      </c>
      <c r="Z150" s="29">
        <f t="shared" si="190"/>
        <v>8.2568667391023573E-3</v>
      </c>
      <c r="AA150" s="29">
        <f t="shared" si="190"/>
        <v>8.2568667391023573E-3</v>
      </c>
      <c r="AB150" s="29">
        <f t="shared" si="190"/>
        <v>8.2568667391023573E-3</v>
      </c>
      <c r="AC150" s="29">
        <f t="shared" si="190"/>
        <v>8.2568667391023573E-3</v>
      </c>
      <c r="AD150" s="29">
        <f t="shared" si="190"/>
        <v>8.2568667391023573E-3</v>
      </c>
      <c r="AE150" s="29">
        <f t="shared" si="190"/>
        <v>8.2568667391023573E-3</v>
      </c>
      <c r="AF150" s="29">
        <f t="shared" si="190"/>
        <v>8.2568667391023573E-3</v>
      </c>
      <c r="AG150" s="29">
        <f t="shared" si="190"/>
        <v>8.2568667391023573E-3</v>
      </c>
      <c r="AH150" s="29">
        <f t="shared" si="190"/>
        <v>8.2568667391023573E-3</v>
      </c>
    </row>
    <row r="151" spans="3:34" x14ac:dyDescent="0.25">
      <c r="I151" s="32"/>
      <c r="J151" s="32"/>
      <c r="K151" s="32"/>
      <c r="L151" s="32"/>
    </row>
    <row r="152" spans="3:34" x14ac:dyDescent="0.25">
      <c r="C152" s="28" t="s">
        <v>54</v>
      </c>
      <c r="I152" s="17" t="s">
        <v>0</v>
      </c>
      <c r="J152" s="17" t="s">
        <v>0</v>
      </c>
      <c r="K152" s="17" t="s">
        <v>0</v>
      </c>
      <c r="L152" s="17" t="s">
        <v>0</v>
      </c>
      <c r="M152" s="17" t="s">
        <v>0</v>
      </c>
      <c r="N152" s="17" t="s">
        <v>0</v>
      </c>
      <c r="O152" s="17" t="s">
        <v>0</v>
      </c>
      <c r="P152" s="17" t="s">
        <v>0</v>
      </c>
      <c r="Q152" s="17" t="s">
        <v>0</v>
      </c>
      <c r="R152" s="17" t="s">
        <v>0</v>
      </c>
      <c r="S152" s="17" t="s">
        <v>0</v>
      </c>
      <c r="T152" s="17" t="s">
        <v>0</v>
      </c>
      <c r="U152" s="17" t="s">
        <v>0</v>
      </c>
      <c r="V152" s="17" t="s">
        <v>0</v>
      </c>
      <c r="W152" s="17" t="s">
        <v>0</v>
      </c>
      <c r="X152" s="17" t="s">
        <v>0</v>
      </c>
      <c r="Y152" s="17" t="s">
        <v>0</v>
      </c>
      <c r="Z152" s="17" t="s">
        <v>0</v>
      </c>
      <c r="AA152" s="17" t="s">
        <v>0</v>
      </c>
      <c r="AB152" s="17" t="s">
        <v>0</v>
      </c>
      <c r="AC152" s="17" t="s">
        <v>0</v>
      </c>
      <c r="AD152" s="17" t="s">
        <v>0</v>
      </c>
      <c r="AE152" s="17" t="s">
        <v>0</v>
      </c>
      <c r="AF152" s="17" t="s">
        <v>0</v>
      </c>
      <c r="AG152" s="17" t="s">
        <v>0</v>
      </c>
      <c r="AH152" s="17" t="s">
        <v>0</v>
      </c>
    </row>
    <row r="153" spans="3:34" x14ac:dyDescent="0.25">
      <c r="C153" s="28" t="s">
        <v>55</v>
      </c>
      <c r="I153" s="17" t="s">
        <v>0</v>
      </c>
      <c r="J153" s="17" t="s">
        <v>0</v>
      </c>
      <c r="K153" s="17" t="s">
        <v>0</v>
      </c>
      <c r="L153" s="17" t="s">
        <v>0</v>
      </c>
      <c r="M153" s="17" t="s">
        <v>0</v>
      </c>
      <c r="N153" s="17" t="s">
        <v>0</v>
      </c>
      <c r="O153" s="17" t="s">
        <v>0</v>
      </c>
      <c r="P153" s="17" t="s">
        <v>0</v>
      </c>
      <c r="Q153" s="17" t="s">
        <v>0</v>
      </c>
      <c r="R153" s="17" t="s">
        <v>0</v>
      </c>
      <c r="S153" s="17" t="s">
        <v>0</v>
      </c>
      <c r="T153" s="17" t="s">
        <v>0</v>
      </c>
      <c r="U153" s="17" t="s">
        <v>0</v>
      </c>
      <c r="V153" s="17" t="s">
        <v>0</v>
      </c>
      <c r="W153" s="17" t="s">
        <v>0</v>
      </c>
      <c r="X153" s="17" t="s">
        <v>0</v>
      </c>
      <c r="Y153" s="17" t="s">
        <v>0</v>
      </c>
      <c r="Z153" s="17" t="s">
        <v>0</v>
      </c>
      <c r="AA153" s="17" t="s">
        <v>0</v>
      </c>
      <c r="AB153" s="17" t="s">
        <v>0</v>
      </c>
      <c r="AC153" s="17" t="s">
        <v>0</v>
      </c>
      <c r="AD153" s="17" t="s">
        <v>0</v>
      </c>
      <c r="AE153" s="17" t="s">
        <v>0</v>
      </c>
      <c r="AF153" s="17" t="s">
        <v>0</v>
      </c>
      <c r="AG153" s="17" t="s">
        <v>0</v>
      </c>
      <c r="AH153" s="17" t="s">
        <v>0</v>
      </c>
    </row>
    <row r="154" spans="3:34" x14ac:dyDescent="0.25">
      <c r="C154" s="28" t="s">
        <v>1793</v>
      </c>
      <c r="I154" s="17">
        <v>1384236</v>
      </c>
      <c r="J154" s="17">
        <v>957395</v>
      </c>
      <c r="K154" s="17">
        <v>1514111</v>
      </c>
      <c r="L154" s="17">
        <v>2780531</v>
      </c>
      <c r="M154" s="84">
        <v>3354142</v>
      </c>
      <c r="N154" s="23">
        <f t="shared" ref="N154:W154" si="191">(M154+N135)*N10</f>
        <v>4404223.583848428</v>
      </c>
      <c r="O154" s="23">
        <f t="shared" si="191"/>
        <v>5552452.3392246189</v>
      </c>
      <c r="P154" s="23">
        <f t="shared" si="191"/>
        <v>6776584.552205815</v>
      </c>
      <c r="Q154" s="23">
        <f t="shared" si="191"/>
        <v>8074748.0675907191</v>
      </c>
      <c r="R154" s="23">
        <f t="shared" si="191"/>
        <v>9444848.1449667457</v>
      </c>
      <c r="S154" s="23">
        <f t="shared" si="191"/>
        <v>10884559.045245085</v>
      </c>
      <c r="T154" s="23">
        <f t="shared" si="191"/>
        <v>12391315.334820008</v>
      </c>
      <c r="U154" s="23">
        <f t="shared" si="191"/>
        <v>13962302.895876762</v>
      </c>
      <c r="V154" s="23">
        <f t="shared" si="191"/>
        <v>15594449.630793491</v>
      </c>
      <c r="W154" s="23">
        <f t="shared" si="191"/>
        <v>17308214.147381827</v>
      </c>
      <c r="X154" s="23">
        <f>(W154+X135)*X10</f>
        <v>0</v>
      </c>
      <c r="Y154" s="23">
        <f t="shared" ref="Y154:AH154" si="192">(X154+Y135)*Y10</f>
        <v>0</v>
      </c>
      <c r="Z154" s="23">
        <f t="shared" si="192"/>
        <v>0</v>
      </c>
      <c r="AA154" s="23">
        <f t="shared" si="192"/>
        <v>0</v>
      </c>
      <c r="AB154" s="23">
        <f t="shared" si="192"/>
        <v>0</v>
      </c>
      <c r="AC154" s="23">
        <f t="shared" si="192"/>
        <v>0</v>
      </c>
      <c r="AD154" s="23">
        <f t="shared" si="192"/>
        <v>0</v>
      </c>
      <c r="AE154" s="23">
        <f t="shared" si="192"/>
        <v>0</v>
      </c>
      <c r="AF154" s="23">
        <f t="shared" si="192"/>
        <v>0</v>
      </c>
      <c r="AG154" s="23">
        <f t="shared" si="192"/>
        <v>0</v>
      </c>
      <c r="AH154" s="23">
        <f t="shared" si="192"/>
        <v>0</v>
      </c>
    </row>
    <row r="155" spans="3:34" x14ac:dyDescent="0.25">
      <c r="C155" s="28" t="s">
        <v>457</v>
      </c>
      <c r="I155" s="17">
        <v>0</v>
      </c>
      <c r="J155" s="17">
        <v>1406589</v>
      </c>
      <c r="K155" s="17">
        <v>1908047</v>
      </c>
      <c r="L155" s="17">
        <v>2008539</v>
      </c>
      <c r="M155" s="84">
        <v>845570</v>
      </c>
      <c r="N155" s="23">
        <f t="shared" ref="N155:W155" si="193">M155*N10</f>
        <v>845570</v>
      </c>
      <c r="O155" s="23">
        <f t="shared" si="193"/>
        <v>845570</v>
      </c>
      <c r="P155" s="23">
        <f t="shared" si="193"/>
        <v>845570</v>
      </c>
      <c r="Q155" s="23">
        <f t="shared" si="193"/>
        <v>845570</v>
      </c>
      <c r="R155" s="23">
        <f t="shared" si="193"/>
        <v>845570</v>
      </c>
      <c r="S155" s="23">
        <f t="shared" si="193"/>
        <v>845570</v>
      </c>
      <c r="T155" s="23">
        <f t="shared" si="193"/>
        <v>845570</v>
      </c>
      <c r="U155" s="23">
        <f t="shared" si="193"/>
        <v>845570</v>
      </c>
      <c r="V155" s="23">
        <f t="shared" si="193"/>
        <v>845570</v>
      </c>
      <c r="W155" s="23">
        <f t="shared" si="193"/>
        <v>845570</v>
      </c>
      <c r="X155" s="23">
        <f t="shared" ref="X155:AH155" si="194">W155*X10</f>
        <v>0</v>
      </c>
      <c r="Y155" s="23">
        <f t="shared" si="194"/>
        <v>0</v>
      </c>
      <c r="Z155" s="23">
        <f t="shared" si="194"/>
        <v>0</v>
      </c>
      <c r="AA155" s="23">
        <f t="shared" si="194"/>
        <v>0</v>
      </c>
      <c r="AB155" s="23">
        <f t="shared" si="194"/>
        <v>0</v>
      </c>
      <c r="AC155" s="23">
        <f t="shared" si="194"/>
        <v>0</v>
      </c>
      <c r="AD155" s="23">
        <f t="shared" si="194"/>
        <v>0</v>
      </c>
      <c r="AE155" s="23">
        <f t="shared" si="194"/>
        <v>0</v>
      </c>
      <c r="AF155" s="23">
        <f t="shared" si="194"/>
        <v>0</v>
      </c>
      <c r="AG155" s="23">
        <f t="shared" si="194"/>
        <v>0</v>
      </c>
      <c r="AH155" s="23">
        <f t="shared" si="194"/>
        <v>0</v>
      </c>
    </row>
    <row r="156" spans="3:34" x14ac:dyDescent="0.25">
      <c r="C156" s="28" t="s">
        <v>59</v>
      </c>
      <c r="I156" s="17">
        <v>578573</v>
      </c>
      <c r="J156" s="17">
        <v>702038</v>
      </c>
      <c r="K156" s="17">
        <v>785877</v>
      </c>
      <c r="L156" s="17">
        <v>762811</v>
      </c>
      <c r="M156" s="84">
        <v>794472</v>
      </c>
      <c r="N156" s="23">
        <f>N146/365*N65</f>
        <v>860214.94297216472</v>
      </c>
      <c r="O156" s="23">
        <f t="shared" ref="O156:W156" si="195">O146/365*O65</f>
        <v>913375.6978470165</v>
      </c>
      <c r="P156" s="23">
        <f t="shared" si="195"/>
        <v>968487.44631982001</v>
      </c>
      <c r="Q156" s="23">
        <f t="shared" si="195"/>
        <v>1025601.565137708</v>
      </c>
      <c r="R156" s="23">
        <f t="shared" si="195"/>
        <v>1084770.8369604405</v>
      </c>
      <c r="S156" s="23">
        <f t="shared" si="195"/>
        <v>1146049.4989131249</v>
      </c>
      <c r="T156" s="23">
        <f t="shared" si="195"/>
        <v>1209493.2932170008</v>
      </c>
      <c r="U156" s="23">
        <f t="shared" si="195"/>
        <v>1275159.519997041</v>
      </c>
      <c r="V156" s="23">
        <f t="shared" si="195"/>
        <v>1343107.092370034</v>
      </c>
      <c r="W156" s="23">
        <f t="shared" si="195"/>
        <v>1413396.5939218905</v>
      </c>
      <c r="X156" s="23">
        <f t="shared" ref="X156:AH156" si="196">X146/365*X65</f>
        <v>0</v>
      </c>
      <c r="Y156" s="23">
        <f t="shared" si="196"/>
        <v>0</v>
      </c>
      <c r="Z156" s="23">
        <f t="shared" si="196"/>
        <v>0</v>
      </c>
      <c r="AA156" s="23">
        <f t="shared" si="196"/>
        <v>0</v>
      </c>
      <c r="AB156" s="23">
        <f t="shared" si="196"/>
        <v>0</v>
      </c>
      <c r="AC156" s="23">
        <f t="shared" si="196"/>
        <v>0</v>
      </c>
      <c r="AD156" s="23">
        <f t="shared" si="196"/>
        <v>0</v>
      </c>
      <c r="AE156" s="23">
        <f t="shared" si="196"/>
        <v>0</v>
      </c>
      <c r="AF156" s="23">
        <f t="shared" si="196"/>
        <v>0</v>
      </c>
      <c r="AG156" s="23">
        <f t="shared" si="196"/>
        <v>0</v>
      </c>
      <c r="AH156" s="23">
        <f t="shared" si="196"/>
        <v>0</v>
      </c>
    </row>
    <row r="157" spans="3:34" x14ac:dyDescent="0.25">
      <c r="C157" s="28" t="s">
        <v>62</v>
      </c>
      <c r="I157" s="17">
        <v>112242</v>
      </c>
      <c r="J157" s="17">
        <v>123725</v>
      </c>
      <c r="K157" s="17">
        <v>132638</v>
      </c>
      <c r="L157" s="17">
        <v>116145</v>
      </c>
      <c r="M157" s="84">
        <v>117979</v>
      </c>
      <c r="N157" s="23">
        <f>N149*N64</f>
        <v>129091.63023414974</v>
      </c>
      <c r="O157" s="23">
        <f t="shared" ref="O157:W157" si="197">O149*O64</f>
        <v>135546.21174585723</v>
      </c>
      <c r="P157" s="23">
        <f t="shared" si="197"/>
        <v>142323.52233315009</v>
      </c>
      <c r="Q157" s="23">
        <f t="shared" si="197"/>
        <v>149439.69844980759</v>
      </c>
      <c r="R157" s="23">
        <f t="shared" si="197"/>
        <v>156911.68337229802</v>
      </c>
      <c r="S157" s="23">
        <f t="shared" si="197"/>
        <v>164757.2675409129</v>
      </c>
      <c r="T157" s="23">
        <f t="shared" si="197"/>
        <v>172995.13091795857</v>
      </c>
      <c r="U157" s="23">
        <f t="shared" si="197"/>
        <v>181644.88746385649</v>
      </c>
      <c r="V157" s="23">
        <f t="shared" si="197"/>
        <v>190727.1318370493</v>
      </c>
      <c r="W157" s="23">
        <f t="shared" si="197"/>
        <v>200263.48842890176</v>
      </c>
      <c r="X157" s="23">
        <f t="shared" ref="X157:AH157" si="198">X149*X64</f>
        <v>0</v>
      </c>
      <c r="Y157" s="23">
        <f t="shared" si="198"/>
        <v>0</v>
      </c>
      <c r="Z157" s="23">
        <f t="shared" si="198"/>
        <v>0</v>
      </c>
      <c r="AA157" s="23">
        <f t="shared" si="198"/>
        <v>0</v>
      </c>
      <c r="AB157" s="23">
        <f t="shared" si="198"/>
        <v>0</v>
      </c>
      <c r="AC157" s="23">
        <f t="shared" si="198"/>
        <v>0</v>
      </c>
      <c r="AD157" s="23">
        <f t="shared" si="198"/>
        <v>0</v>
      </c>
      <c r="AE157" s="23">
        <f t="shared" si="198"/>
        <v>0</v>
      </c>
      <c r="AF157" s="23">
        <f t="shared" si="198"/>
        <v>0</v>
      </c>
      <c r="AG157" s="23">
        <f t="shared" si="198"/>
        <v>0</v>
      </c>
      <c r="AH157" s="23">
        <f t="shared" si="198"/>
        <v>0</v>
      </c>
    </row>
    <row r="158" spans="3:34" x14ac:dyDescent="0.25">
      <c r="C158" s="28" t="s">
        <v>65</v>
      </c>
      <c r="I158" s="17">
        <v>58791</v>
      </c>
      <c r="J158" s="17">
        <v>39973</v>
      </c>
      <c r="K158" s="17">
        <v>43639</v>
      </c>
      <c r="L158" s="17">
        <v>39661</v>
      </c>
      <c r="M158" s="84">
        <v>49632</v>
      </c>
      <c r="N158" s="23">
        <f>N148/365*N68</f>
        <v>46411.978643429255</v>
      </c>
      <c r="O158" s="23">
        <f t="shared" ref="O158:W158" si="199">O148/365*O68</f>
        <v>49280.210403499987</v>
      </c>
      <c r="P158" s="23">
        <f t="shared" si="199"/>
        <v>52253.705939725027</v>
      </c>
      <c r="Q158" s="23">
        <f t="shared" si="199"/>
        <v>55335.237229631792</v>
      </c>
      <c r="R158" s="23">
        <f t="shared" si="199"/>
        <v>58527.652105262227</v>
      </c>
      <c r="S158" s="23">
        <f t="shared" si="199"/>
        <v>61833.876872782857</v>
      </c>
      <c r="T158" s="23">
        <f t="shared" si="199"/>
        <v>65256.919044214745</v>
      </c>
      <c r="U158" s="23">
        <f t="shared" si="199"/>
        <v>68799.870186611282</v>
      </c>
      <c r="V158" s="23">
        <f t="shared" si="199"/>
        <v>72465.90889427677</v>
      </c>
      <c r="W158" s="23">
        <f t="shared" si="199"/>
        <v>76258.303889893141</v>
      </c>
      <c r="X158" s="23">
        <f t="shared" ref="X158:AH158" si="200">X148/365*X68</f>
        <v>0</v>
      </c>
      <c r="Y158" s="23">
        <f t="shared" si="200"/>
        <v>0</v>
      </c>
      <c r="Z158" s="23">
        <f t="shared" si="200"/>
        <v>0</v>
      </c>
      <c r="AA158" s="23">
        <f t="shared" si="200"/>
        <v>0</v>
      </c>
      <c r="AB158" s="23">
        <f t="shared" si="200"/>
        <v>0</v>
      </c>
      <c r="AC158" s="23">
        <f t="shared" si="200"/>
        <v>0</v>
      </c>
      <c r="AD158" s="23">
        <f t="shared" si="200"/>
        <v>0</v>
      </c>
      <c r="AE158" s="23">
        <f t="shared" si="200"/>
        <v>0</v>
      </c>
      <c r="AF158" s="23">
        <f t="shared" si="200"/>
        <v>0</v>
      </c>
      <c r="AG158" s="23">
        <f t="shared" si="200"/>
        <v>0</v>
      </c>
      <c r="AH158" s="23">
        <f t="shared" si="200"/>
        <v>0</v>
      </c>
    </row>
    <row r="159" spans="3:34" x14ac:dyDescent="0.25">
      <c r="C159" s="28" t="s">
        <v>68</v>
      </c>
      <c r="I159" s="17">
        <v>49882</v>
      </c>
      <c r="J159" s="17">
        <v>6574</v>
      </c>
      <c r="K159" s="17">
        <v>0</v>
      </c>
      <c r="L159" s="17">
        <v>580</v>
      </c>
      <c r="M159" s="84">
        <v>721</v>
      </c>
      <c r="N159" s="23">
        <f t="shared" ref="N159:W159" si="201">M159*N10</f>
        <v>721</v>
      </c>
      <c r="O159" s="23">
        <f t="shared" si="201"/>
        <v>721</v>
      </c>
      <c r="P159" s="23">
        <f t="shared" si="201"/>
        <v>721</v>
      </c>
      <c r="Q159" s="23">
        <f t="shared" si="201"/>
        <v>721</v>
      </c>
      <c r="R159" s="23">
        <f t="shared" si="201"/>
        <v>721</v>
      </c>
      <c r="S159" s="23">
        <f t="shared" si="201"/>
        <v>721</v>
      </c>
      <c r="T159" s="23">
        <f t="shared" si="201"/>
        <v>721</v>
      </c>
      <c r="U159" s="23">
        <f t="shared" si="201"/>
        <v>721</v>
      </c>
      <c r="V159" s="23">
        <f t="shared" si="201"/>
        <v>721</v>
      </c>
      <c r="W159" s="23">
        <f t="shared" si="201"/>
        <v>721</v>
      </c>
      <c r="X159" s="23">
        <f t="shared" ref="X159:AH159" si="202">W159*X10</f>
        <v>0</v>
      </c>
      <c r="Y159" s="23">
        <f t="shared" si="202"/>
        <v>0</v>
      </c>
      <c r="Z159" s="23">
        <f t="shared" si="202"/>
        <v>0</v>
      </c>
      <c r="AA159" s="23">
        <f t="shared" si="202"/>
        <v>0</v>
      </c>
      <c r="AB159" s="23">
        <f t="shared" si="202"/>
        <v>0</v>
      </c>
      <c r="AC159" s="23">
        <f t="shared" si="202"/>
        <v>0</v>
      </c>
      <c r="AD159" s="23">
        <f t="shared" si="202"/>
        <v>0</v>
      </c>
      <c r="AE159" s="23">
        <f t="shared" si="202"/>
        <v>0</v>
      </c>
      <c r="AF159" s="23">
        <f t="shared" si="202"/>
        <v>0</v>
      </c>
      <c r="AG159" s="23">
        <f t="shared" si="202"/>
        <v>0</v>
      </c>
      <c r="AH159" s="23">
        <f t="shared" si="202"/>
        <v>0</v>
      </c>
    </row>
    <row r="160" spans="3:34" x14ac:dyDescent="0.25">
      <c r="C160" s="28" t="s">
        <v>71</v>
      </c>
      <c r="I160" s="17">
        <v>18731</v>
      </c>
      <c r="J160" s="17">
        <v>26310</v>
      </c>
      <c r="K160" s="17">
        <v>33872</v>
      </c>
      <c r="L160" s="17">
        <v>46361</v>
      </c>
      <c r="M160" s="84">
        <v>54157</v>
      </c>
      <c r="N160" s="23">
        <f>N150*N65</f>
        <v>40800.600337981436</v>
      </c>
      <c r="O160" s="23">
        <f t="shared" ref="O160:W160" si="203">O150*O65</f>
        <v>43322.05236695928</v>
      </c>
      <c r="P160" s="23">
        <f t="shared" si="203"/>
        <v>45936.04139579086</v>
      </c>
      <c r="Q160" s="23">
        <f t="shared" si="203"/>
        <v>48645.004259761976</v>
      </c>
      <c r="R160" s="23">
        <f t="shared" si="203"/>
        <v>51451.444477584155</v>
      </c>
      <c r="S160" s="23">
        <f t="shared" si="203"/>
        <v>54357.934554284271</v>
      </c>
      <c r="T160" s="23">
        <f t="shared" si="203"/>
        <v>57367.118382658315</v>
      </c>
      <c r="U160" s="23">
        <f t="shared" si="203"/>
        <v>60481.713747973154</v>
      </c>
      <c r="V160" s="23">
        <f t="shared" si="203"/>
        <v>63704.514940833003</v>
      </c>
      <c r="W160" s="23">
        <f t="shared" si="203"/>
        <v>67038.395483368542</v>
      </c>
      <c r="X160" s="23">
        <f t="shared" ref="X160:AH160" si="204">X150*X65</f>
        <v>0</v>
      </c>
      <c r="Y160" s="23">
        <f t="shared" si="204"/>
        <v>0</v>
      </c>
      <c r="Z160" s="23">
        <f t="shared" si="204"/>
        <v>0</v>
      </c>
      <c r="AA160" s="23">
        <f t="shared" si="204"/>
        <v>0</v>
      </c>
      <c r="AB160" s="23">
        <f t="shared" si="204"/>
        <v>0</v>
      </c>
      <c r="AC160" s="23">
        <f t="shared" si="204"/>
        <v>0</v>
      </c>
      <c r="AD160" s="23">
        <f t="shared" si="204"/>
        <v>0</v>
      </c>
      <c r="AE160" s="23">
        <f t="shared" si="204"/>
        <v>0</v>
      </c>
      <c r="AF160" s="23">
        <f t="shared" si="204"/>
        <v>0</v>
      </c>
      <c r="AG160" s="23">
        <f t="shared" si="204"/>
        <v>0</v>
      </c>
      <c r="AH160" s="23">
        <f t="shared" si="204"/>
        <v>0</v>
      </c>
    </row>
    <row r="161" spans="3:34" s="7" customFormat="1" x14ac:dyDescent="0.25">
      <c r="C161" s="7" t="s">
        <v>74</v>
      </c>
      <c r="I161" s="18">
        <f>SUM(I154:I160)</f>
        <v>2202455</v>
      </c>
      <c r="J161" s="18">
        <f t="shared" ref="J161:W161" si="205">SUM(J154:J160)</f>
        <v>3262604</v>
      </c>
      <c r="K161" s="18">
        <f>SUM(K154:K160)</f>
        <v>4418184</v>
      </c>
      <c r="L161" s="18">
        <f t="shared" si="205"/>
        <v>5754628</v>
      </c>
      <c r="M161" s="85">
        <f t="shared" si="205"/>
        <v>5216673</v>
      </c>
      <c r="N161" s="25">
        <f>SUM(N154:N160)</f>
        <v>6327033.7360361526</v>
      </c>
      <c r="O161" s="25">
        <f t="shared" si="205"/>
        <v>7540267.5115879513</v>
      </c>
      <c r="P161" s="25">
        <f t="shared" si="205"/>
        <v>8831876.2681943011</v>
      </c>
      <c r="Q161" s="25">
        <f t="shared" si="205"/>
        <v>10200060.572667629</v>
      </c>
      <c r="R161" s="25">
        <f t="shared" si="205"/>
        <v>11642800.761882331</v>
      </c>
      <c r="S161" s="25">
        <f t="shared" si="205"/>
        <v>13157848.62312619</v>
      </c>
      <c r="T161" s="25">
        <f t="shared" si="205"/>
        <v>14742718.796381842</v>
      </c>
      <c r="U161" s="25">
        <f t="shared" si="205"/>
        <v>16394679.887272244</v>
      </c>
      <c r="V161" s="25">
        <f t="shared" si="205"/>
        <v>18110745.278835684</v>
      </c>
      <c r="W161" s="25">
        <f t="shared" si="205"/>
        <v>19911461.929105882</v>
      </c>
      <c r="X161" s="25">
        <f t="shared" ref="X161:AH161" si="206">SUM(X154:X160)</f>
        <v>0</v>
      </c>
      <c r="Y161" s="25">
        <f t="shared" si="206"/>
        <v>0</v>
      </c>
      <c r="Z161" s="25">
        <f t="shared" si="206"/>
        <v>0</v>
      </c>
      <c r="AA161" s="25">
        <f t="shared" si="206"/>
        <v>0</v>
      </c>
      <c r="AB161" s="25">
        <f t="shared" si="206"/>
        <v>0</v>
      </c>
      <c r="AC161" s="25">
        <f t="shared" si="206"/>
        <v>0</v>
      </c>
      <c r="AD161" s="25">
        <f t="shared" si="206"/>
        <v>0</v>
      </c>
      <c r="AE161" s="25">
        <f t="shared" si="206"/>
        <v>0</v>
      </c>
      <c r="AF161" s="25">
        <f t="shared" si="206"/>
        <v>0</v>
      </c>
      <c r="AG161" s="25">
        <f t="shared" si="206"/>
        <v>0</v>
      </c>
      <c r="AH161" s="25">
        <f t="shared" si="206"/>
        <v>0</v>
      </c>
    </row>
    <row r="162" spans="3:34" x14ac:dyDescent="0.25">
      <c r="C162" s="28" t="s">
        <v>77</v>
      </c>
      <c r="I162" s="17">
        <v>2485764</v>
      </c>
      <c r="J162" s="17">
        <v>2844339</v>
      </c>
      <c r="K162" s="17">
        <v>3175838</v>
      </c>
      <c r="L162" s="17">
        <v>3598093</v>
      </c>
      <c r="M162" s="84">
        <v>3715922</v>
      </c>
      <c r="N162" s="23">
        <f>(M162-N97-N117)*N10</f>
        <v>4004684.3403000003</v>
      </c>
      <c r="O162" s="23">
        <f t="shared" ref="O162:W162" si="207">(N162-O97-O117)*O10</f>
        <v>4258563.1920250002</v>
      </c>
      <c r="P162" s="23">
        <f t="shared" si="207"/>
        <v>4477260.02335844</v>
      </c>
      <c r="Q162" s="23">
        <f t="shared" si="207"/>
        <v>4660495.8271165565</v>
      </c>
      <c r="R162" s="23">
        <f t="shared" si="207"/>
        <v>4808011.761163421</v>
      </c>
      <c r="S162" s="23">
        <f t="shared" si="207"/>
        <v>4919569.8018825119</v>
      </c>
      <c r="T162" s="23">
        <f t="shared" si="207"/>
        <v>4994953.4109239094</v>
      </c>
      <c r="U162" s="23">
        <f t="shared" si="207"/>
        <v>5033968.2154495083</v>
      </c>
      <c r="V162" s="23">
        <f t="shared" si="207"/>
        <v>5036442.7021019831</v>
      </c>
      <c r="W162" s="23">
        <f t="shared" si="207"/>
        <v>4978430.6255163597</v>
      </c>
      <c r="X162" s="23">
        <f t="shared" ref="X162:AH162" si="208">(W162-X117-X97)*X10</f>
        <v>0</v>
      </c>
      <c r="Y162" s="23">
        <f t="shared" si="208"/>
        <v>0</v>
      </c>
      <c r="Z162" s="23">
        <f t="shared" si="208"/>
        <v>0</v>
      </c>
      <c r="AA162" s="23">
        <f t="shared" si="208"/>
        <v>0</v>
      </c>
      <c r="AB162" s="23">
        <f t="shared" si="208"/>
        <v>0</v>
      </c>
      <c r="AC162" s="23">
        <f t="shared" si="208"/>
        <v>0</v>
      </c>
      <c r="AD162" s="23">
        <f t="shared" si="208"/>
        <v>0</v>
      </c>
      <c r="AE162" s="23">
        <f t="shared" si="208"/>
        <v>0</v>
      </c>
      <c r="AF162" s="23">
        <f t="shared" si="208"/>
        <v>0</v>
      </c>
      <c r="AG162" s="23">
        <f t="shared" si="208"/>
        <v>0</v>
      </c>
      <c r="AH162" s="23">
        <f t="shared" si="208"/>
        <v>0</v>
      </c>
    </row>
    <row r="163" spans="3:34" x14ac:dyDescent="0.25">
      <c r="C163" s="28" t="s">
        <v>80</v>
      </c>
      <c r="I163" s="17">
        <v>116303</v>
      </c>
      <c r="J163" s="17">
        <v>108139</v>
      </c>
      <c r="K163" s="17">
        <v>116301</v>
      </c>
      <c r="L163" s="17">
        <v>99708</v>
      </c>
      <c r="M163" s="84">
        <v>88066</v>
      </c>
      <c r="N163" s="23">
        <f t="shared" ref="N163:W163" si="209">M163*N10</f>
        <v>88066</v>
      </c>
      <c r="O163" s="23">
        <f t="shared" si="209"/>
        <v>88066</v>
      </c>
      <c r="P163" s="23">
        <f t="shared" si="209"/>
        <v>88066</v>
      </c>
      <c r="Q163" s="23">
        <f t="shared" si="209"/>
        <v>88066</v>
      </c>
      <c r="R163" s="23">
        <f t="shared" si="209"/>
        <v>88066</v>
      </c>
      <c r="S163" s="23">
        <f t="shared" si="209"/>
        <v>88066</v>
      </c>
      <c r="T163" s="23">
        <f t="shared" si="209"/>
        <v>88066</v>
      </c>
      <c r="U163" s="23">
        <f t="shared" si="209"/>
        <v>88066</v>
      </c>
      <c r="V163" s="23">
        <f t="shared" si="209"/>
        <v>88066</v>
      </c>
      <c r="W163" s="23">
        <f t="shared" si="209"/>
        <v>88066</v>
      </c>
      <c r="X163" s="23">
        <f t="shared" ref="X163:AH163" si="210">W163*X10</f>
        <v>0</v>
      </c>
      <c r="Y163" s="23">
        <f t="shared" si="210"/>
        <v>0</v>
      </c>
      <c r="Z163" s="23">
        <f t="shared" si="210"/>
        <v>0</v>
      </c>
      <c r="AA163" s="23">
        <f t="shared" si="210"/>
        <v>0</v>
      </c>
      <c r="AB163" s="23">
        <f t="shared" si="210"/>
        <v>0</v>
      </c>
      <c r="AC163" s="23">
        <f t="shared" si="210"/>
        <v>0</v>
      </c>
      <c r="AD163" s="23">
        <f t="shared" si="210"/>
        <v>0</v>
      </c>
      <c r="AE163" s="23">
        <f t="shared" si="210"/>
        <v>0</v>
      </c>
      <c r="AF163" s="23">
        <f t="shared" si="210"/>
        <v>0</v>
      </c>
      <c r="AG163" s="23">
        <f t="shared" si="210"/>
        <v>0</v>
      </c>
      <c r="AH163" s="23">
        <f t="shared" si="210"/>
        <v>0</v>
      </c>
    </row>
    <row r="164" spans="3:34" x14ac:dyDescent="0.25">
      <c r="C164" s="28" t="s">
        <v>83</v>
      </c>
      <c r="I164" s="17">
        <v>54680</v>
      </c>
      <c r="J164" s="17">
        <v>62702</v>
      </c>
      <c r="K164" s="17">
        <v>74088</v>
      </c>
      <c r="L164" s="17">
        <v>62832</v>
      </c>
      <c r="M164" s="84">
        <v>53943</v>
      </c>
      <c r="N164" s="23">
        <f t="shared" ref="N164:W164" si="211">M164*N10</f>
        <v>53943</v>
      </c>
      <c r="O164" s="23">
        <f t="shared" si="211"/>
        <v>53943</v>
      </c>
      <c r="P164" s="23">
        <f t="shared" si="211"/>
        <v>53943</v>
      </c>
      <c r="Q164" s="23">
        <f t="shared" si="211"/>
        <v>53943</v>
      </c>
      <c r="R164" s="23">
        <f t="shared" si="211"/>
        <v>53943</v>
      </c>
      <c r="S164" s="23">
        <f t="shared" si="211"/>
        <v>53943</v>
      </c>
      <c r="T164" s="23">
        <f t="shared" si="211"/>
        <v>53943</v>
      </c>
      <c r="U164" s="23">
        <f t="shared" si="211"/>
        <v>53943</v>
      </c>
      <c r="V164" s="23">
        <f t="shared" si="211"/>
        <v>53943</v>
      </c>
      <c r="W164" s="23">
        <f t="shared" si="211"/>
        <v>53943</v>
      </c>
      <c r="X164" s="23">
        <f t="shared" ref="X164:AH164" si="212">W164*X10</f>
        <v>0</v>
      </c>
      <c r="Y164" s="23">
        <f t="shared" si="212"/>
        <v>0</v>
      </c>
      <c r="Z164" s="23">
        <f t="shared" si="212"/>
        <v>0</v>
      </c>
      <c r="AA164" s="23">
        <f t="shared" si="212"/>
        <v>0</v>
      </c>
      <c r="AB164" s="23">
        <f t="shared" si="212"/>
        <v>0</v>
      </c>
      <c r="AC164" s="23">
        <f t="shared" si="212"/>
        <v>0</v>
      </c>
      <c r="AD164" s="23">
        <f t="shared" si="212"/>
        <v>0</v>
      </c>
      <c r="AE164" s="23">
        <f t="shared" si="212"/>
        <v>0</v>
      </c>
      <c r="AF164" s="23">
        <f t="shared" si="212"/>
        <v>0</v>
      </c>
      <c r="AG164" s="23">
        <f t="shared" si="212"/>
        <v>0</v>
      </c>
      <c r="AH164" s="23">
        <f t="shared" si="212"/>
        <v>0</v>
      </c>
    </row>
    <row r="165" spans="3:34" x14ac:dyDescent="0.25">
      <c r="C165" s="28" t="s">
        <v>86</v>
      </c>
      <c r="I165" s="17">
        <v>401954</v>
      </c>
      <c r="J165" s="17">
        <v>394289</v>
      </c>
      <c r="K165" s="17">
        <v>513909</v>
      </c>
      <c r="L165" s="17">
        <v>517779</v>
      </c>
      <c r="M165" s="84">
        <v>522703</v>
      </c>
      <c r="N165" s="23">
        <f t="shared" ref="N165:W165" si="213">M165*N10</f>
        <v>522703</v>
      </c>
      <c r="O165" s="23">
        <f t="shared" si="213"/>
        <v>522703</v>
      </c>
      <c r="P165" s="23">
        <f t="shared" si="213"/>
        <v>522703</v>
      </c>
      <c r="Q165" s="23">
        <f t="shared" si="213"/>
        <v>522703</v>
      </c>
      <c r="R165" s="23">
        <f t="shared" si="213"/>
        <v>522703</v>
      </c>
      <c r="S165" s="23">
        <f t="shared" si="213"/>
        <v>522703</v>
      </c>
      <c r="T165" s="23">
        <f t="shared" si="213"/>
        <v>522703</v>
      </c>
      <c r="U165" s="23">
        <f t="shared" si="213"/>
        <v>522703</v>
      </c>
      <c r="V165" s="23">
        <f t="shared" si="213"/>
        <v>522703</v>
      </c>
      <c r="W165" s="23">
        <f t="shared" si="213"/>
        <v>522703</v>
      </c>
      <c r="X165" s="23">
        <f t="shared" ref="X165:AH165" si="214">W165*X10</f>
        <v>0</v>
      </c>
      <c r="Y165" s="23">
        <f t="shared" si="214"/>
        <v>0</v>
      </c>
      <c r="Z165" s="23">
        <f t="shared" si="214"/>
        <v>0</v>
      </c>
      <c r="AA165" s="23">
        <f t="shared" si="214"/>
        <v>0</v>
      </c>
      <c r="AB165" s="23">
        <f t="shared" si="214"/>
        <v>0</v>
      </c>
      <c r="AC165" s="23">
        <f t="shared" si="214"/>
        <v>0</v>
      </c>
      <c r="AD165" s="23">
        <f t="shared" si="214"/>
        <v>0</v>
      </c>
      <c r="AE165" s="23">
        <f t="shared" si="214"/>
        <v>0</v>
      </c>
      <c r="AF165" s="23">
        <f t="shared" si="214"/>
        <v>0</v>
      </c>
      <c r="AG165" s="23">
        <f t="shared" si="214"/>
        <v>0</v>
      </c>
      <c r="AH165" s="23">
        <f t="shared" si="214"/>
        <v>0</v>
      </c>
    </row>
    <row r="166" spans="3:34" x14ac:dyDescent="0.25">
      <c r="C166" s="28" t="s">
        <v>89</v>
      </c>
      <c r="I166" s="17">
        <v>47708</v>
      </c>
      <c r="J166" s="17">
        <v>65806</v>
      </c>
      <c r="K166" s="17">
        <v>129444</v>
      </c>
      <c r="L166" s="17">
        <v>57862</v>
      </c>
      <c r="M166" s="84">
        <v>51729</v>
      </c>
      <c r="N166" s="23">
        <f t="shared" ref="N166:W166" si="215">M166*N10</f>
        <v>51729</v>
      </c>
      <c r="O166" s="23">
        <f t="shared" si="215"/>
        <v>51729</v>
      </c>
      <c r="P166" s="23">
        <f t="shared" si="215"/>
        <v>51729</v>
      </c>
      <c r="Q166" s="23">
        <f t="shared" si="215"/>
        <v>51729</v>
      </c>
      <c r="R166" s="23">
        <f t="shared" si="215"/>
        <v>51729</v>
      </c>
      <c r="S166" s="23">
        <f t="shared" si="215"/>
        <v>51729</v>
      </c>
      <c r="T166" s="23">
        <f t="shared" si="215"/>
        <v>51729</v>
      </c>
      <c r="U166" s="23">
        <f t="shared" si="215"/>
        <v>51729</v>
      </c>
      <c r="V166" s="23">
        <f t="shared" si="215"/>
        <v>51729</v>
      </c>
      <c r="W166" s="23">
        <f t="shared" si="215"/>
        <v>51729</v>
      </c>
      <c r="X166" s="23">
        <f t="shared" ref="X166:AH166" si="216">W166*X10</f>
        <v>0</v>
      </c>
      <c r="Y166" s="23">
        <f t="shared" si="216"/>
        <v>0</v>
      </c>
      <c r="Z166" s="23">
        <f t="shared" si="216"/>
        <v>0</v>
      </c>
      <c r="AA166" s="23">
        <f t="shared" si="216"/>
        <v>0</v>
      </c>
      <c r="AB166" s="23">
        <f t="shared" si="216"/>
        <v>0</v>
      </c>
      <c r="AC166" s="23">
        <f t="shared" si="216"/>
        <v>0</v>
      </c>
      <c r="AD166" s="23">
        <f t="shared" si="216"/>
        <v>0</v>
      </c>
      <c r="AE166" s="23">
        <f t="shared" si="216"/>
        <v>0</v>
      </c>
      <c r="AF166" s="23">
        <f t="shared" si="216"/>
        <v>0</v>
      </c>
      <c r="AG166" s="23">
        <f t="shared" si="216"/>
        <v>0</v>
      </c>
      <c r="AH166" s="23">
        <f t="shared" si="216"/>
        <v>0</v>
      </c>
    </row>
    <row r="167" spans="3:34" s="7" customFormat="1" x14ac:dyDescent="0.25">
      <c r="C167" s="7" t="s">
        <v>92</v>
      </c>
      <c r="E167" s="13"/>
      <c r="F167" s="13"/>
      <c r="G167" s="13"/>
      <c r="H167" s="13"/>
      <c r="I167" s="18">
        <f>SUM(I161:I166)</f>
        <v>5308864</v>
      </c>
      <c r="J167" s="18">
        <f t="shared" ref="J167:W167" si="217">SUM(J161:J166)</f>
        <v>6737879</v>
      </c>
      <c r="K167" s="18">
        <f t="shared" si="217"/>
        <v>8427764</v>
      </c>
      <c r="L167" s="18">
        <f t="shared" si="217"/>
        <v>10090902</v>
      </c>
      <c r="M167" s="85">
        <f>SUM(M161:M166)</f>
        <v>9649036</v>
      </c>
      <c r="N167" s="25">
        <f>SUM(N161:N166)</f>
        <v>11048159.076336153</v>
      </c>
      <c r="O167" s="25">
        <f t="shared" si="217"/>
        <v>12515271.703612952</v>
      </c>
      <c r="P167" s="25">
        <f t="shared" si="217"/>
        <v>14025577.291552741</v>
      </c>
      <c r="Q167" s="25">
        <f t="shared" si="217"/>
        <v>15576997.399784185</v>
      </c>
      <c r="R167" s="25">
        <f t="shared" si="217"/>
        <v>17167253.523045752</v>
      </c>
      <c r="S167" s="25">
        <f t="shared" si="217"/>
        <v>18793859.425008703</v>
      </c>
      <c r="T167" s="25">
        <f t="shared" si="217"/>
        <v>20454113.207305752</v>
      </c>
      <c r="U167" s="25">
        <f t="shared" si="217"/>
        <v>22145089.102721751</v>
      </c>
      <c r="V167" s="25">
        <f t="shared" si="217"/>
        <v>23863628.980937667</v>
      </c>
      <c r="W167" s="25">
        <f t="shared" si="217"/>
        <v>25606333.55462224</v>
      </c>
      <c r="X167" s="25">
        <f t="shared" ref="X167:AH167" si="218">SUM(X161:X166)</f>
        <v>0</v>
      </c>
      <c r="Y167" s="25">
        <f t="shared" si="218"/>
        <v>0</v>
      </c>
      <c r="Z167" s="25">
        <f t="shared" si="218"/>
        <v>0</v>
      </c>
      <c r="AA167" s="25">
        <f t="shared" si="218"/>
        <v>0</v>
      </c>
      <c r="AB167" s="25">
        <f t="shared" si="218"/>
        <v>0</v>
      </c>
      <c r="AC167" s="25">
        <f t="shared" si="218"/>
        <v>0</v>
      </c>
      <c r="AD167" s="25">
        <f t="shared" si="218"/>
        <v>0</v>
      </c>
      <c r="AE167" s="25">
        <f t="shared" si="218"/>
        <v>0</v>
      </c>
      <c r="AF167" s="25">
        <f t="shared" si="218"/>
        <v>0</v>
      </c>
      <c r="AG167" s="25">
        <f t="shared" si="218"/>
        <v>0</v>
      </c>
      <c r="AH167" s="25">
        <f t="shared" si="218"/>
        <v>0</v>
      </c>
    </row>
    <row r="168" spans="3:34" x14ac:dyDescent="0.25">
      <c r="C168" s="28" t="s">
        <v>0</v>
      </c>
      <c r="I168" s="17" t="s">
        <v>0</v>
      </c>
      <c r="J168" s="17" t="s">
        <v>0</v>
      </c>
      <c r="K168" s="17" t="s">
        <v>0</v>
      </c>
      <c r="L168" s="17" t="s">
        <v>0</v>
      </c>
      <c r="M168" s="84" t="s">
        <v>0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spans="3:34" s="7" customFormat="1" x14ac:dyDescent="0.25">
      <c r="C169" s="28" t="s">
        <v>96</v>
      </c>
      <c r="D169" s="28"/>
      <c r="I169" s="17" t="s">
        <v>0</v>
      </c>
      <c r="J169" s="17" t="s">
        <v>0</v>
      </c>
      <c r="K169" s="17" t="s">
        <v>0</v>
      </c>
      <c r="L169" s="17" t="s">
        <v>0</v>
      </c>
      <c r="M169" s="84" t="s">
        <v>0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spans="3:34" x14ac:dyDescent="0.25">
      <c r="C170" s="28" t="s">
        <v>97</v>
      </c>
      <c r="I170" s="17">
        <v>399034</v>
      </c>
      <c r="J170" s="17">
        <v>440810</v>
      </c>
      <c r="K170" s="17">
        <v>518148</v>
      </c>
      <c r="L170" s="17">
        <v>591831</v>
      </c>
      <c r="M170" s="84">
        <v>598290</v>
      </c>
      <c r="N170" s="23">
        <f>N147/365*N70</f>
        <v>621322.51646773331</v>
      </c>
      <c r="O170" s="23">
        <f t="shared" ref="O170:AH170" si="219">O147/365*O70</f>
        <v>669790.16108000721</v>
      </c>
      <c r="P170" s="23">
        <f t="shared" si="219"/>
        <v>720882.23763169593</v>
      </c>
      <c r="Q170" s="23">
        <f t="shared" si="219"/>
        <v>774702.08546121826</v>
      </c>
      <c r="R170" s="23">
        <f t="shared" si="219"/>
        <v>831356.38717121014</v>
      </c>
      <c r="S170" s="23">
        <f t="shared" si="219"/>
        <v>890955.28387756064</v>
      </c>
      <c r="T170" s="23">
        <f t="shared" si="219"/>
        <v>953612.49530874216</v>
      </c>
      <c r="U170" s="23">
        <f t="shared" si="219"/>
        <v>1019445.44499477</v>
      </c>
      <c r="V170" s="23">
        <f t="shared" si="219"/>
        <v>1088575.3907977988</v>
      </c>
      <c r="W170" s="23">
        <f t="shared" si="219"/>
        <v>1161127.5610497054</v>
      </c>
      <c r="X170" s="23">
        <f t="shared" si="219"/>
        <v>0</v>
      </c>
      <c r="Y170" s="23">
        <f t="shared" si="219"/>
        <v>0</v>
      </c>
      <c r="Z170" s="23">
        <f t="shared" si="219"/>
        <v>0</v>
      </c>
      <c r="AA170" s="23">
        <f t="shared" si="219"/>
        <v>0</v>
      </c>
      <c r="AB170" s="23">
        <f t="shared" si="219"/>
        <v>0</v>
      </c>
      <c r="AC170" s="23">
        <f t="shared" si="219"/>
        <v>0</v>
      </c>
      <c r="AD170" s="23">
        <f t="shared" si="219"/>
        <v>0</v>
      </c>
      <c r="AE170" s="23">
        <f t="shared" si="219"/>
        <v>0</v>
      </c>
      <c r="AF170" s="23">
        <f t="shared" si="219"/>
        <v>0</v>
      </c>
      <c r="AG170" s="23">
        <f t="shared" si="219"/>
        <v>0</v>
      </c>
      <c r="AH170" s="23">
        <f t="shared" si="219"/>
        <v>0</v>
      </c>
    </row>
    <row r="171" spans="3:34" x14ac:dyDescent="0.25">
      <c r="C171" s="28" t="s">
        <v>100</v>
      </c>
      <c r="I171" s="17">
        <v>20061</v>
      </c>
      <c r="J171" s="17">
        <v>26117</v>
      </c>
      <c r="K171" s="17">
        <v>28121</v>
      </c>
      <c r="L171" s="17">
        <v>30440</v>
      </c>
      <c r="M171" s="84">
        <v>33494</v>
      </c>
      <c r="N171" s="23">
        <f t="shared" ref="N171:AH171" si="220">M171*N10</f>
        <v>33494</v>
      </c>
      <c r="O171" s="23">
        <f t="shared" si="220"/>
        <v>33494</v>
      </c>
      <c r="P171" s="23">
        <f t="shared" si="220"/>
        <v>33494</v>
      </c>
      <c r="Q171" s="23">
        <f t="shared" si="220"/>
        <v>33494</v>
      </c>
      <c r="R171" s="23">
        <f t="shared" si="220"/>
        <v>33494</v>
      </c>
      <c r="S171" s="23">
        <f t="shared" si="220"/>
        <v>33494</v>
      </c>
      <c r="T171" s="23">
        <f t="shared" si="220"/>
        <v>33494</v>
      </c>
      <c r="U171" s="23">
        <f t="shared" si="220"/>
        <v>33494</v>
      </c>
      <c r="V171" s="23">
        <f t="shared" si="220"/>
        <v>33494</v>
      </c>
      <c r="W171" s="23">
        <f t="shared" si="220"/>
        <v>33494</v>
      </c>
      <c r="X171" s="23">
        <f t="shared" si="220"/>
        <v>0</v>
      </c>
      <c r="Y171" s="23">
        <f t="shared" si="220"/>
        <v>0</v>
      </c>
      <c r="Z171" s="23">
        <f t="shared" si="220"/>
        <v>0</v>
      </c>
      <c r="AA171" s="23">
        <f t="shared" si="220"/>
        <v>0</v>
      </c>
      <c r="AB171" s="23">
        <f t="shared" si="220"/>
        <v>0</v>
      </c>
      <c r="AC171" s="23">
        <f t="shared" si="220"/>
        <v>0</v>
      </c>
      <c r="AD171" s="23">
        <f t="shared" si="220"/>
        <v>0</v>
      </c>
      <c r="AE171" s="23">
        <f t="shared" si="220"/>
        <v>0</v>
      </c>
      <c r="AF171" s="23">
        <f t="shared" si="220"/>
        <v>0</v>
      </c>
      <c r="AG171" s="23">
        <f t="shared" si="220"/>
        <v>0</v>
      </c>
      <c r="AH171" s="23">
        <f t="shared" si="220"/>
        <v>0</v>
      </c>
    </row>
    <row r="172" spans="3:34" x14ac:dyDescent="0.25">
      <c r="C172" s="28" t="s">
        <v>103</v>
      </c>
      <c r="I172" s="17">
        <v>0</v>
      </c>
      <c r="J172" s="17">
        <v>4374</v>
      </c>
      <c r="K172" s="17">
        <v>60994</v>
      </c>
      <c r="L172" s="17">
        <v>41141</v>
      </c>
      <c r="M172" s="84">
        <v>37650</v>
      </c>
      <c r="N172" s="23">
        <f t="shared" ref="N172:AH172" si="221">M172*N10</f>
        <v>37650</v>
      </c>
      <c r="O172" s="23">
        <f t="shared" si="221"/>
        <v>37650</v>
      </c>
      <c r="P172" s="23">
        <f t="shared" si="221"/>
        <v>37650</v>
      </c>
      <c r="Q172" s="23">
        <f t="shared" si="221"/>
        <v>37650</v>
      </c>
      <c r="R172" s="23">
        <f t="shared" si="221"/>
        <v>37650</v>
      </c>
      <c r="S172" s="23">
        <f t="shared" si="221"/>
        <v>37650</v>
      </c>
      <c r="T172" s="23">
        <f t="shared" si="221"/>
        <v>37650</v>
      </c>
      <c r="U172" s="23">
        <f t="shared" si="221"/>
        <v>37650</v>
      </c>
      <c r="V172" s="23">
        <f t="shared" si="221"/>
        <v>37650</v>
      </c>
      <c r="W172" s="23">
        <f t="shared" si="221"/>
        <v>37650</v>
      </c>
      <c r="X172" s="23">
        <f t="shared" si="221"/>
        <v>0</v>
      </c>
      <c r="Y172" s="23">
        <f t="shared" si="221"/>
        <v>0</v>
      </c>
      <c r="Z172" s="23">
        <f t="shared" si="221"/>
        <v>0</v>
      </c>
      <c r="AA172" s="23">
        <f t="shared" si="221"/>
        <v>0</v>
      </c>
      <c r="AB172" s="23">
        <f t="shared" si="221"/>
        <v>0</v>
      </c>
      <c r="AC172" s="23">
        <f t="shared" si="221"/>
        <v>0</v>
      </c>
      <c r="AD172" s="23">
        <f t="shared" si="221"/>
        <v>0</v>
      </c>
      <c r="AE172" s="23">
        <f t="shared" si="221"/>
        <v>0</v>
      </c>
      <c r="AF172" s="23">
        <f t="shared" si="221"/>
        <v>0</v>
      </c>
      <c r="AG172" s="23">
        <f t="shared" si="221"/>
        <v>0</v>
      </c>
      <c r="AH172" s="23">
        <f t="shared" si="221"/>
        <v>0</v>
      </c>
    </row>
    <row r="173" spans="3:34" s="7" customFormat="1" x14ac:dyDescent="0.25">
      <c r="C173" s="28" t="s">
        <v>105</v>
      </c>
      <c r="D173" s="28"/>
      <c r="I173" s="17">
        <v>21794</v>
      </c>
      <c r="J173" s="17">
        <v>21468</v>
      </c>
      <c r="K173" s="17">
        <v>21304</v>
      </c>
      <c r="L173" s="17">
        <v>19869</v>
      </c>
      <c r="M173" s="84">
        <v>15825</v>
      </c>
      <c r="N173" s="23">
        <f>M173*N$10</f>
        <v>15825</v>
      </c>
      <c r="O173" s="23">
        <f t="shared" ref="O173:AH173" si="222">N173*O10</f>
        <v>15825</v>
      </c>
      <c r="P173" s="23">
        <f t="shared" si="222"/>
        <v>15825</v>
      </c>
      <c r="Q173" s="23">
        <f t="shared" si="222"/>
        <v>15825</v>
      </c>
      <c r="R173" s="23">
        <f t="shared" si="222"/>
        <v>15825</v>
      </c>
      <c r="S173" s="23">
        <f t="shared" si="222"/>
        <v>15825</v>
      </c>
      <c r="T173" s="23">
        <f t="shared" si="222"/>
        <v>15825</v>
      </c>
      <c r="U173" s="23">
        <f t="shared" si="222"/>
        <v>15825</v>
      </c>
      <c r="V173" s="23">
        <f t="shared" si="222"/>
        <v>15825</v>
      </c>
      <c r="W173" s="23">
        <f t="shared" si="222"/>
        <v>15825</v>
      </c>
      <c r="X173" s="23">
        <f t="shared" si="222"/>
        <v>0</v>
      </c>
      <c r="Y173" s="23">
        <f t="shared" si="222"/>
        <v>0</v>
      </c>
      <c r="Z173" s="23">
        <f t="shared" si="222"/>
        <v>0</v>
      </c>
      <c r="AA173" s="23">
        <f t="shared" si="222"/>
        <v>0</v>
      </c>
      <c r="AB173" s="23">
        <f t="shared" si="222"/>
        <v>0</v>
      </c>
      <c r="AC173" s="23">
        <f t="shared" si="222"/>
        <v>0</v>
      </c>
      <c r="AD173" s="23">
        <f t="shared" si="222"/>
        <v>0</v>
      </c>
      <c r="AE173" s="23">
        <f t="shared" si="222"/>
        <v>0</v>
      </c>
      <c r="AF173" s="23">
        <f t="shared" si="222"/>
        <v>0</v>
      </c>
      <c r="AG173" s="23">
        <f t="shared" si="222"/>
        <v>0</v>
      </c>
      <c r="AH173" s="23">
        <f t="shared" si="222"/>
        <v>0</v>
      </c>
    </row>
    <row r="174" spans="3:34" s="7" customFormat="1" x14ac:dyDescent="0.25">
      <c r="C174" s="7" t="s">
        <v>108</v>
      </c>
      <c r="I174" s="18">
        <f>SUM(I170:I173)</f>
        <v>440889</v>
      </c>
      <c r="J174" s="18">
        <f t="shared" ref="J174:M174" si="223">SUM(J170:J173)</f>
        <v>492769</v>
      </c>
      <c r="K174" s="18">
        <f t="shared" si="223"/>
        <v>628567</v>
      </c>
      <c r="L174" s="18">
        <f t="shared" si="223"/>
        <v>683281</v>
      </c>
      <c r="M174" s="85">
        <f t="shared" si="223"/>
        <v>685259</v>
      </c>
      <c r="N174" s="25">
        <f>SUM(N170:N173)</f>
        <v>708291.51646773331</v>
      </c>
      <c r="O174" s="25">
        <f t="shared" ref="O174" si="224">SUM(O170:O173)</f>
        <v>756759.16108000721</v>
      </c>
      <c r="P174" s="25">
        <f t="shared" ref="P174" si="225">SUM(P170:P173)</f>
        <v>807851.23763169593</v>
      </c>
      <c r="Q174" s="25">
        <f t="shared" ref="Q174" si="226">SUM(Q170:Q173)</f>
        <v>861671.08546121826</v>
      </c>
      <c r="R174" s="25">
        <f t="shared" ref="R174" si="227">SUM(R170:R173)</f>
        <v>918325.38717121014</v>
      </c>
      <c r="S174" s="25">
        <f t="shared" ref="S174" si="228">SUM(S170:S173)</f>
        <v>977924.28387756064</v>
      </c>
      <c r="T174" s="25">
        <f t="shared" ref="T174" si="229">SUM(T170:T173)</f>
        <v>1040581.4953087422</v>
      </c>
      <c r="U174" s="25">
        <f t="shared" ref="U174" si="230">SUM(U170:U173)</f>
        <v>1106414.44499477</v>
      </c>
      <c r="V174" s="25">
        <f t="shared" ref="V174" si="231">SUM(V170:V173)</f>
        <v>1175544.3907977988</v>
      </c>
      <c r="W174" s="25">
        <f t="shared" ref="W174" si="232">SUM(W170:W173)</f>
        <v>1248096.5610497054</v>
      </c>
      <c r="X174" s="25">
        <f t="shared" ref="X174" si="233">SUM(X170:X173)</f>
        <v>0</v>
      </c>
      <c r="Y174" s="25">
        <f t="shared" ref="Y174" si="234">SUM(Y170:Y173)</f>
        <v>0</v>
      </c>
      <c r="Z174" s="25">
        <f t="shared" ref="Z174" si="235">SUM(Z170:Z173)</f>
        <v>0</v>
      </c>
      <c r="AA174" s="25">
        <f t="shared" ref="AA174" si="236">SUM(AA170:AA173)</f>
        <v>0</v>
      </c>
      <c r="AB174" s="25">
        <f t="shared" ref="AB174" si="237">SUM(AB170:AB173)</f>
        <v>0</v>
      </c>
      <c r="AC174" s="25">
        <f t="shared" ref="AC174" si="238">SUM(AC170:AC173)</f>
        <v>0</v>
      </c>
      <c r="AD174" s="25">
        <f t="shared" ref="AD174" si="239">SUM(AD170:AD173)</f>
        <v>0</v>
      </c>
      <c r="AE174" s="25">
        <f t="shared" ref="AE174" si="240">SUM(AE170:AE173)</f>
        <v>0</v>
      </c>
      <c r="AF174" s="25">
        <f t="shared" ref="AF174" si="241">SUM(AF170:AF173)</f>
        <v>0</v>
      </c>
      <c r="AG174" s="25">
        <f t="shared" ref="AG174" si="242">SUM(AG170:AG173)</f>
        <v>0</v>
      </c>
      <c r="AH174" s="25">
        <f t="shared" ref="AH174" si="243">SUM(AH170:AH173)</f>
        <v>0</v>
      </c>
    </row>
    <row r="175" spans="3:34" x14ac:dyDescent="0.25">
      <c r="C175" s="28" t="s">
        <v>111</v>
      </c>
      <c r="I175" s="17">
        <v>80060</v>
      </c>
      <c r="J175" s="17">
        <v>89492</v>
      </c>
      <c r="K175" s="17">
        <v>93653</v>
      </c>
      <c r="L175" s="17">
        <v>80625</v>
      </c>
      <c r="M175" s="84">
        <v>89733</v>
      </c>
      <c r="N175" s="23">
        <f t="shared" ref="N175:AC177" si="244">M175*N$10</f>
        <v>89733</v>
      </c>
      <c r="O175" s="23">
        <f t="shared" si="244"/>
        <v>89733</v>
      </c>
      <c r="P175" s="23">
        <f t="shared" si="244"/>
        <v>89733</v>
      </c>
      <c r="Q175" s="23">
        <f t="shared" si="244"/>
        <v>89733</v>
      </c>
      <c r="R175" s="23">
        <f t="shared" si="244"/>
        <v>89733</v>
      </c>
      <c r="S175" s="23">
        <f t="shared" si="244"/>
        <v>89733</v>
      </c>
      <c r="T175" s="23">
        <f t="shared" si="244"/>
        <v>89733</v>
      </c>
      <c r="U175" s="23">
        <f t="shared" si="244"/>
        <v>89733</v>
      </c>
      <c r="V175" s="23">
        <f t="shared" si="244"/>
        <v>89733</v>
      </c>
      <c r="W175" s="23">
        <f t="shared" si="244"/>
        <v>89733</v>
      </c>
      <c r="X175" s="23">
        <f t="shared" si="244"/>
        <v>0</v>
      </c>
      <c r="Y175" s="23">
        <f t="shared" si="244"/>
        <v>0</v>
      </c>
      <c r="Z175" s="23">
        <f t="shared" si="244"/>
        <v>0</v>
      </c>
      <c r="AA175" s="23">
        <f t="shared" si="244"/>
        <v>0</v>
      </c>
      <c r="AB175" s="23">
        <f t="shared" si="244"/>
        <v>0</v>
      </c>
      <c r="AC175" s="23">
        <f t="shared" si="244"/>
        <v>0</v>
      </c>
      <c r="AD175" s="23">
        <f t="shared" ref="O175:AH177" si="245">AC175*AD$10</f>
        <v>0</v>
      </c>
      <c r="AE175" s="23">
        <f t="shared" si="245"/>
        <v>0</v>
      </c>
      <c r="AF175" s="23">
        <f t="shared" si="245"/>
        <v>0</v>
      </c>
      <c r="AG175" s="23">
        <f t="shared" si="245"/>
        <v>0</v>
      </c>
      <c r="AH175" s="23">
        <f t="shared" si="245"/>
        <v>0</v>
      </c>
    </row>
    <row r="176" spans="3:34" x14ac:dyDescent="0.25">
      <c r="C176" s="28" t="s">
        <v>103</v>
      </c>
      <c r="I176" s="17">
        <v>64637</v>
      </c>
      <c r="J176" s="17">
        <v>69193</v>
      </c>
      <c r="K176" s="17">
        <v>59560</v>
      </c>
      <c r="L176" s="17">
        <v>35635</v>
      </c>
      <c r="M176" s="84">
        <v>5308</v>
      </c>
      <c r="N176" s="23">
        <f t="shared" si="244"/>
        <v>5308</v>
      </c>
      <c r="O176" s="23">
        <f t="shared" si="245"/>
        <v>5308</v>
      </c>
      <c r="P176" s="23">
        <f t="shared" si="245"/>
        <v>5308</v>
      </c>
      <c r="Q176" s="23">
        <f t="shared" si="245"/>
        <v>5308</v>
      </c>
      <c r="R176" s="23">
        <f t="shared" si="245"/>
        <v>5308</v>
      </c>
      <c r="S176" s="23">
        <f t="shared" si="245"/>
        <v>5308</v>
      </c>
      <c r="T176" s="23">
        <f t="shared" si="245"/>
        <v>5308</v>
      </c>
      <c r="U176" s="23">
        <f t="shared" si="245"/>
        <v>5308</v>
      </c>
      <c r="V176" s="23">
        <f t="shared" si="245"/>
        <v>5308</v>
      </c>
      <c r="W176" s="23">
        <f t="shared" si="245"/>
        <v>5308</v>
      </c>
      <c r="X176" s="23">
        <f t="shared" si="245"/>
        <v>0</v>
      </c>
      <c r="Y176" s="23">
        <f t="shared" si="245"/>
        <v>0</v>
      </c>
      <c r="Z176" s="23">
        <f t="shared" si="245"/>
        <v>0</v>
      </c>
      <c r="AA176" s="23">
        <f t="shared" si="245"/>
        <v>0</v>
      </c>
      <c r="AB176" s="23">
        <f t="shared" si="245"/>
        <v>0</v>
      </c>
      <c r="AC176" s="23">
        <f t="shared" si="245"/>
        <v>0</v>
      </c>
      <c r="AD176" s="23">
        <f t="shared" si="245"/>
        <v>0</v>
      </c>
      <c r="AE176" s="23">
        <f t="shared" si="245"/>
        <v>0</v>
      </c>
      <c r="AF176" s="23">
        <f t="shared" si="245"/>
        <v>0</v>
      </c>
      <c r="AG176" s="23">
        <f t="shared" si="245"/>
        <v>0</v>
      </c>
      <c r="AH176" s="23">
        <f t="shared" si="245"/>
        <v>0</v>
      </c>
    </row>
    <row r="177" spans="3:34" s="7" customFormat="1" x14ac:dyDescent="0.25">
      <c r="C177" s="28" t="s">
        <v>116</v>
      </c>
      <c r="D177" s="28"/>
      <c r="I177" s="17">
        <v>95683</v>
      </c>
      <c r="J177" s="17">
        <v>88082</v>
      </c>
      <c r="K177" s="17">
        <v>97429</v>
      </c>
      <c r="L177" s="17">
        <v>83870</v>
      </c>
      <c r="M177" s="84">
        <v>77291</v>
      </c>
      <c r="N177" s="23">
        <f t="shared" si="244"/>
        <v>77291</v>
      </c>
      <c r="O177" s="23">
        <f t="shared" si="245"/>
        <v>77291</v>
      </c>
      <c r="P177" s="23">
        <f t="shared" si="245"/>
        <v>77291</v>
      </c>
      <c r="Q177" s="23">
        <f t="shared" si="245"/>
        <v>77291</v>
      </c>
      <c r="R177" s="23">
        <f t="shared" si="245"/>
        <v>77291</v>
      </c>
      <c r="S177" s="23">
        <f t="shared" si="245"/>
        <v>77291</v>
      </c>
      <c r="T177" s="23">
        <f t="shared" si="245"/>
        <v>77291</v>
      </c>
      <c r="U177" s="23">
        <f t="shared" si="245"/>
        <v>77291</v>
      </c>
      <c r="V177" s="23">
        <f t="shared" si="245"/>
        <v>77291</v>
      </c>
      <c r="W177" s="23">
        <f t="shared" si="245"/>
        <v>77291</v>
      </c>
      <c r="X177" s="23">
        <f t="shared" si="245"/>
        <v>0</v>
      </c>
      <c r="Y177" s="23">
        <f t="shared" si="245"/>
        <v>0</v>
      </c>
      <c r="Z177" s="23">
        <f t="shared" si="245"/>
        <v>0</v>
      </c>
      <c r="AA177" s="23">
        <f t="shared" si="245"/>
        <v>0</v>
      </c>
      <c r="AB177" s="23">
        <f t="shared" si="245"/>
        <v>0</v>
      </c>
      <c r="AC177" s="23">
        <f t="shared" si="245"/>
        <v>0</v>
      </c>
      <c r="AD177" s="23">
        <f t="shared" si="245"/>
        <v>0</v>
      </c>
      <c r="AE177" s="23">
        <f t="shared" si="245"/>
        <v>0</v>
      </c>
      <c r="AF177" s="23">
        <f t="shared" si="245"/>
        <v>0</v>
      </c>
      <c r="AG177" s="23">
        <f t="shared" si="245"/>
        <v>0</v>
      </c>
      <c r="AH177" s="23">
        <f t="shared" si="245"/>
        <v>0</v>
      </c>
    </row>
    <row r="178" spans="3:34" s="7" customFormat="1" x14ac:dyDescent="0.25">
      <c r="C178" s="28" t="s">
        <v>1650</v>
      </c>
      <c r="D178" s="28"/>
      <c r="I178" s="17">
        <v>1996</v>
      </c>
      <c r="J178" s="17">
        <v>10903</v>
      </c>
      <c r="K178" s="17">
        <v>0</v>
      </c>
      <c r="L178" s="17">
        <v>0</v>
      </c>
      <c r="M178" s="24">
        <v>0</v>
      </c>
      <c r="N178" s="23">
        <f>M178*N$10</f>
        <v>0</v>
      </c>
      <c r="O178" s="23">
        <f t="shared" ref="O178:AH178" si="246">N178*O$10</f>
        <v>0</v>
      </c>
      <c r="P178" s="23">
        <f t="shared" si="246"/>
        <v>0</v>
      </c>
      <c r="Q178" s="23">
        <f t="shared" si="246"/>
        <v>0</v>
      </c>
      <c r="R178" s="23">
        <f t="shared" si="246"/>
        <v>0</v>
      </c>
      <c r="S178" s="23">
        <f t="shared" si="246"/>
        <v>0</v>
      </c>
      <c r="T178" s="23">
        <f t="shared" si="246"/>
        <v>0</v>
      </c>
      <c r="U178" s="23">
        <f t="shared" si="246"/>
        <v>0</v>
      </c>
      <c r="V178" s="23">
        <f t="shared" si="246"/>
        <v>0</v>
      </c>
      <c r="W178" s="23">
        <f t="shared" si="246"/>
        <v>0</v>
      </c>
      <c r="X178" s="23">
        <f t="shared" si="246"/>
        <v>0</v>
      </c>
      <c r="Y178" s="23">
        <f t="shared" si="246"/>
        <v>0</v>
      </c>
      <c r="Z178" s="23">
        <f t="shared" si="246"/>
        <v>0</v>
      </c>
      <c r="AA178" s="23">
        <f t="shared" si="246"/>
        <v>0</v>
      </c>
      <c r="AB178" s="23">
        <f t="shared" si="246"/>
        <v>0</v>
      </c>
      <c r="AC178" s="23">
        <f t="shared" si="246"/>
        <v>0</v>
      </c>
      <c r="AD178" s="23">
        <f t="shared" si="246"/>
        <v>0</v>
      </c>
      <c r="AE178" s="23">
        <f t="shared" si="246"/>
        <v>0</v>
      </c>
      <c r="AF178" s="23">
        <f t="shared" si="246"/>
        <v>0</v>
      </c>
      <c r="AG178" s="23">
        <f t="shared" si="246"/>
        <v>0</v>
      </c>
      <c r="AH178" s="23">
        <f t="shared" si="246"/>
        <v>0</v>
      </c>
    </row>
    <row r="179" spans="3:34" s="7" customFormat="1" x14ac:dyDescent="0.25">
      <c r="C179" s="7" t="s">
        <v>122</v>
      </c>
      <c r="I179" s="18">
        <f>SUM(I174:I178)</f>
        <v>683265</v>
      </c>
      <c r="J179" s="18">
        <f t="shared" ref="J179:K179" si="247">SUM(J174:J178)</f>
        <v>750439</v>
      </c>
      <c r="K179" s="18">
        <f t="shared" si="247"/>
        <v>879209</v>
      </c>
      <c r="L179" s="18">
        <f t="shared" ref="L179:M179" si="248">SUM(L174:L178)</f>
        <v>883411</v>
      </c>
      <c r="M179" s="85">
        <f t="shared" si="248"/>
        <v>857591</v>
      </c>
      <c r="N179" s="25">
        <f>SUM(N174:N178)</f>
        <v>880623.51646773331</v>
      </c>
      <c r="O179" s="25">
        <f t="shared" ref="O179" si="249">SUM(O174:O178)</f>
        <v>929091.16108000721</v>
      </c>
      <c r="P179" s="25">
        <f t="shared" ref="P179" si="250">SUM(P174:P178)</f>
        <v>980183.23763169593</v>
      </c>
      <c r="Q179" s="25">
        <f t="shared" ref="Q179" si="251">SUM(Q174:Q178)</f>
        <v>1034003.0854612183</v>
      </c>
      <c r="R179" s="25">
        <f t="shared" ref="R179" si="252">SUM(R174:R178)</f>
        <v>1090657.3871712103</v>
      </c>
      <c r="S179" s="25">
        <f t="shared" ref="S179" si="253">SUM(S174:S178)</f>
        <v>1150256.2838775606</v>
      </c>
      <c r="T179" s="25">
        <f t="shared" ref="T179" si="254">SUM(T174:T178)</f>
        <v>1212913.4953087422</v>
      </c>
      <c r="U179" s="25">
        <f t="shared" ref="U179" si="255">SUM(U174:U178)</f>
        <v>1278746.44499477</v>
      </c>
      <c r="V179" s="25">
        <f t="shared" ref="V179" si="256">SUM(V174:V178)</f>
        <v>1347876.3907977988</v>
      </c>
      <c r="W179" s="25">
        <f t="shared" ref="W179" si="257">SUM(W174:W178)</f>
        <v>1420428.5610497054</v>
      </c>
      <c r="X179" s="25">
        <f t="shared" ref="X179" si="258">SUM(X174:X178)</f>
        <v>0</v>
      </c>
      <c r="Y179" s="25">
        <f t="shared" ref="Y179" si="259">SUM(Y174:Y178)</f>
        <v>0</v>
      </c>
      <c r="Z179" s="25">
        <f t="shared" ref="Z179" si="260">SUM(Z174:Z178)</f>
        <v>0</v>
      </c>
      <c r="AA179" s="25">
        <f t="shared" ref="AA179" si="261">SUM(AA174:AA178)</f>
        <v>0</v>
      </c>
      <c r="AB179" s="25">
        <f t="shared" ref="AB179" si="262">SUM(AB174:AB178)</f>
        <v>0</v>
      </c>
      <c r="AC179" s="25">
        <f t="shared" ref="AC179" si="263">SUM(AC174:AC178)</f>
        <v>0</v>
      </c>
      <c r="AD179" s="25">
        <f t="shared" ref="AD179" si="264">SUM(AD174:AD178)</f>
        <v>0</v>
      </c>
      <c r="AE179" s="25">
        <f t="shared" ref="AE179" si="265">SUM(AE174:AE178)</f>
        <v>0</v>
      </c>
      <c r="AF179" s="25">
        <f t="shared" ref="AF179" si="266">SUM(AF174:AF178)</f>
        <v>0</v>
      </c>
      <c r="AG179" s="25">
        <f t="shared" ref="AG179" si="267">SUM(AG174:AG178)</f>
        <v>0</v>
      </c>
      <c r="AH179" s="25">
        <f t="shared" ref="AH179" si="268">SUM(AH174:AH178)</f>
        <v>0</v>
      </c>
    </row>
    <row r="180" spans="3:34" x14ac:dyDescent="0.25">
      <c r="C180" s="28" t="s">
        <v>125</v>
      </c>
      <c r="I180" s="17"/>
      <c r="J180" s="17"/>
      <c r="K180" s="17" t="s">
        <v>0</v>
      </c>
      <c r="L180" s="17" t="s">
        <v>0</v>
      </c>
      <c r="M180" s="84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spans="3:34" s="7" customFormat="1" x14ac:dyDescent="0.25">
      <c r="C181" s="7" t="s">
        <v>619</v>
      </c>
      <c r="I181" s="18">
        <v>0</v>
      </c>
      <c r="J181" s="18">
        <v>0</v>
      </c>
      <c r="K181" s="18">
        <v>24544</v>
      </c>
      <c r="L181" s="18">
        <v>20458</v>
      </c>
      <c r="M181" s="85">
        <v>17181</v>
      </c>
      <c r="N181" s="25">
        <f t="shared" ref="N181:AH181" si="269">M181*N10</f>
        <v>17181</v>
      </c>
      <c r="O181" s="25">
        <f t="shared" si="269"/>
        <v>17181</v>
      </c>
      <c r="P181" s="25">
        <f t="shared" si="269"/>
        <v>17181</v>
      </c>
      <c r="Q181" s="25">
        <f t="shared" si="269"/>
        <v>17181</v>
      </c>
      <c r="R181" s="25">
        <f t="shared" si="269"/>
        <v>17181</v>
      </c>
      <c r="S181" s="25">
        <f t="shared" si="269"/>
        <v>17181</v>
      </c>
      <c r="T181" s="25">
        <f t="shared" si="269"/>
        <v>17181</v>
      </c>
      <c r="U181" s="25">
        <f t="shared" si="269"/>
        <v>17181</v>
      </c>
      <c r="V181" s="25">
        <f t="shared" si="269"/>
        <v>17181</v>
      </c>
      <c r="W181" s="25">
        <f t="shared" si="269"/>
        <v>17181</v>
      </c>
      <c r="X181" s="25">
        <f t="shared" si="269"/>
        <v>0</v>
      </c>
      <c r="Y181" s="25">
        <f t="shared" si="269"/>
        <v>0</v>
      </c>
      <c r="Z181" s="25">
        <f t="shared" si="269"/>
        <v>0</v>
      </c>
      <c r="AA181" s="25">
        <f t="shared" si="269"/>
        <v>0</v>
      </c>
      <c r="AB181" s="25">
        <f t="shared" si="269"/>
        <v>0</v>
      </c>
      <c r="AC181" s="25">
        <f t="shared" si="269"/>
        <v>0</v>
      </c>
      <c r="AD181" s="25">
        <f t="shared" si="269"/>
        <v>0</v>
      </c>
      <c r="AE181" s="25">
        <f t="shared" si="269"/>
        <v>0</v>
      </c>
      <c r="AF181" s="25">
        <f t="shared" si="269"/>
        <v>0</v>
      </c>
      <c r="AG181" s="25">
        <f t="shared" si="269"/>
        <v>0</v>
      </c>
      <c r="AH181" s="25">
        <f t="shared" si="269"/>
        <v>0</v>
      </c>
    </row>
    <row r="182" spans="3:34" s="7" customFormat="1" x14ac:dyDescent="0.25">
      <c r="C182" s="28" t="s">
        <v>126</v>
      </c>
      <c r="D182" s="28"/>
      <c r="I182" s="17" t="s">
        <v>0</v>
      </c>
      <c r="J182" s="17" t="s">
        <v>0</v>
      </c>
      <c r="K182" s="17" t="s">
        <v>0</v>
      </c>
      <c r="L182" s="17" t="s">
        <v>0</v>
      </c>
      <c r="M182" s="84" t="s">
        <v>977</v>
      </c>
      <c r="N182" s="17" t="s">
        <v>0</v>
      </c>
      <c r="O182" s="17" t="s">
        <v>0</v>
      </c>
      <c r="P182" s="17" t="s">
        <v>0</v>
      </c>
      <c r="Q182" s="17" t="s">
        <v>0</v>
      </c>
      <c r="R182" s="17" t="s">
        <v>0</v>
      </c>
      <c r="S182" s="17" t="s">
        <v>0</v>
      </c>
      <c r="T182" s="17" t="s">
        <v>0</v>
      </c>
      <c r="U182" s="17" t="s">
        <v>0</v>
      </c>
      <c r="V182" s="17" t="s">
        <v>0</v>
      </c>
      <c r="W182" s="17" t="s">
        <v>0</v>
      </c>
      <c r="X182" s="17" t="s">
        <v>0</v>
      </c>
      <c r="Y182" s="17" t="s">
        <v>0</v>
      </c>
      <c r="Z182" s="17" t="s">
        <v>0</v>
      </c>
      <c r="AA182" s="17" t="s">
        <v>0</v>
      </c>
      <c r="AB182" s="17" t="s">
        <v>0</v>
      </c>
      <c r="AC182" s="17" t="s">
        <v>0</v>
      </c>
      <c r="AD182" s="17" t="s">
        <v>0</v>
      </c>
      <c r="AE182" s="17" t="s">
        <v>0</v>
      </c>
      <c r="AF182" s="17" t="s">
        <v>0</v>
      </c>
      <c r="AG182" s="17" t="s">
        <v>0</v>
      </c>
      <c r="AH182" s="17" t="s">
        <v>0</v>
      </c>
    </row>
    <row r="183" spans="3:34" x14ac:dyDescent="0.25">
      <c r="C183" s="28" t="s">
        <v>127</v>
      </c>
      <c r="E183" s="36"/>
      <c r="F183" s="36"/>
      <c r="G183" s="36"/>
      <c r="H183" s="36"/>
      <c r="I183" s="17">
        <v>0</v>
      </c>
      <c r="J183" s="17">
        <v>0</v>
      </c>
      <c r="K183" s="17">
        <v>0</v>
      </c>
      <c r="L183" s="17">
        <v>0</v>
      </c>
      <c r="M183" s="24">
        <v>0</v>
      </c>
      <c r="N183" s="23">
        <f>M183</f>
        <v>0</v>
      </c>
      <c r="O183" s="23">
        <f t="shared" ref="O183:AH183" si="270">N183</f>
        <v>0</v>
      </c>
      <c r="P183" s="23">
        <f t="shared" si="270"/>
        <v>0</v>
      </c>
      <c r="Q183" s="23">
        <f t="shared" si="270"/>
        <v>0</v>
      </c>
      <c r="R183" s="23">
        <f t="shared" si="270"/>
        <v>0</v>
      </c>
      <c r="S183" s="23">
        <f t="shared" si="270"/>
        <v>0</v>
      </c>
      <c r="T183" s="23">
        <f t="shared" si="270"/>
        <v>0</v>
      </c>
      <c r="U183" s="23">
        <f t="shared" si="270"/>
        <v>0</v>
      </c>
      <c r="V183" s="23">
        <f t="shared" si="270"/>
        <v>0</v>
      </c>
      <c r="W183" s="23">
        <f t="shared" si="270"/>
        <v>0</v>
      </c>
      <c r="X183" s="23">
        <f t="shared" si="270"/>
        <v>0</v>
      </c>
      <c r="Y183" s="23">
        <f t="shared" si="270"/>
        <v>0</v>
      </c>
      <c r="Z183" s="23">
        <f t="shared" si="270"/>
        <v>0</v>
      </c>
      <c r="AA183" s="23">
        <f t="shared" si="270"/>
        <v>0</v>
      </c>
      <c r="AB183" s="23">
        <f t="shared" si="270"/>
        <v>0</v>
      </c>
      <c r="AC183" s="23">
        <f t="shared" si="270"/>
        <v>0</v>
      </c>
      <c r="AD183" s="23">
        <f t="shared" si="270"/>
        <v>0</v>
      </c>
      <c r="AE183" s="23">
        <f t="shared" si="270"/>
        <v>0</v>
      </c>
      <c r="AF183" s="23">
        <f t="shared" si="270"/>
        <v>0</v>
      </c>
      <c r="AG183" s="23">
        <f t="shared" si="270"/>
        <v>0</v>
      </c>
      <c r="AH183" s="23">
        <f t="shared" si="270"/>
        <v>0</v>
      </c>
    </row>
    <row r="184" spans="3:34" x14ac:dyDescent="0.25">
      <c r="C184" s="28" t="s">
        <v>770</v>
      </c>
      <c r="E184" s="36"/>
      <c r="F184" s="36"/>
      <c r="G184" s="36"/>
      <c r="H184" s="36"/>
      <c r="I184" s="17">
        <v>96</v>
      </c>
      <c r="J184" s="17">
        <v>96</v>
      </c>
      <c r="K184" s="17">
        <v>96</v>
      </c>
      <c r="L184" s="17">
        <v>97</v>
      </c>
      <c r="M184" s="84">
        <v>93</v>
      </c>
      <c r="N184" s="23">
        <f t="shared" ref="N184:AH184" si="271">M184*N10</f>
        <v>93</v>
      </c>
      <c r="O184" s="23">
        <f t="shared" si="271"/>
        <v>93</v>
      </c>
      <c r="P184" s="23">
        <f t="shared" si="271"/>
        <v>93</v>
      </c>
      <c r="Q184" s="23">
        <f t="shared" si="271"/>
        <v>93</v>
      </c>
      <c r="R184" s="23">
        <f t="shared" si="271"/>
        <v>93</v>
      </c>
      <c r="S184" s="23">
        <f t="shared" si="271"/>
        <v>93</v>
      </c>
      <c r="T184" s="23">
        <f t="shared" si="271"/>
        <v>93</v>
      </c>
      <c r="U184" s="23">
        <f t="shared" si="271"/>
        <v>93</v>
      </c>
      <c r="V184" s="23">
        <f t="shared" si="271"/>
        <v>93</v>
      </c>
      <c r="W184" s="23">
        <f t="shared" si="271"/>
        <v>93</v>
      </c>
      <c r="X184" s="23">
        <f t="shared" si="271"/>
        <v>0</v>
      </c>
      <c r="Y184" s="23">
        <f t="shared" si="271"/>
        <v>0</v>
      </c>
      <c r="Z184" s="23">
        <f t="shared" si="271"/>
        <v>0</v>
      </c>
      <c r="AA184" s="23">
        <f t="shared" si="271"/>
        <v>0</v>
      </c>
      <c r="AB184" s="23">
        <f t="shared" si="271"/>
        <v>0</v>
      </c>
      <c r="AC184" s="23">
        <f t="shared" si="271"/>
        <v>0</v>
      </c>
      <c r="AD184" s="23">
        <f t="shared" si="271"/>
        <v>0</v>
      </c>
      <c r="AE184" s="23">
        <f t="shared" si="271"/>
        <v>0</v>
      </c>
      <c r="AF184" s="23">
        <f t="shared" si="271"/>
        <v>0</v>
      </c>
      <c r="AG184" s="23">
        <f t="shared" si="271"/>
        <v>0</v>
      </c>
      <c r="AH184" s="23">
        <f t="shared" si="271"/>
        <v>0</v>
      </c>
    </row>
    <row r="185" spans="3:34" x14ac:dyDescent="0.25">
      <c r="C185" s="28" t="s">
        <v>130</v>
      </c>
      <c r="E185" s="36"/>
      <c r="F185" s="36"/>
      <c r="G185" s="36"/>
      <c r="H185" s="36"/>
      <c r="I185" s="17">
        <v>838460</v>
      </c>
      <c r="J185" s="17">
        <v>938910</v>
      </c>
      <c r="K185" s="17">
        <v>1120985</v>
      </c>
      <c r="L185" s="17">
        <v>1214150</v>
      </c>
      <c r="M185" s="84">
        <v>1207201</v>
      </c>
      <c r="N185" s="23">
        <f>M185*N$10</f>
        <v>1207201</v>
      </c>
      <c r="O185" s="23">
        <f t="shared" ref="O185:AH185" si="272">N185*O$10</f>
        <v>1207201</v>
      </c>
      <c r="P185" s="23">
        <f t="shared" si="272"/>
        <v>1207201</v>
      </c>
      <c r="Q185" s="23">
        <f t="shared" si="272"/>
        <v>1207201</v>
      </c>
      <c r="R185" s="23">
        <f t="shared" si="272"/>
        <v>1207201</v>
      </c>
      <c r="S185" s="23">
        <f t="shared" si="272"/>
        <v>1207201</v>
      </c>
      <c r="T185" s="23">
        <f t="shared" si="272"/>
        <v>1207201</v>
      </c>
      <c r="U185" s="23">
        <f t="shared" si="272"/>
        <v>1207201</v>
      </c>
      <c r="V185" s="23">
        <f t="shared" si="272"/>
        <v>1207201</v>
      </c>
      <c r="W185" s="23">
        <f t="shared" si="272"/>
        <v>1207201</v>
      </c>
      <c r="X185" s="23">
        <f t="shared" si="272"/>
        <v>0</v>
      </c>
      <c r="Y185" s="23">
        <f t="shared" si="272"/>
        <v>0</v>
      </c>
      <c r="Z185" s="23">
        <f t="shared" si="272"/>
        <v>0</v>
      </c>
      <c r="AA185" s="23">
        <f t="shared" si="272"/>
        <v>0</v>
      </c>
      <c r="AB185" s="23">
        <f t="shared" si="272"/>
        <v>0</v>
      </c>
      <c r="AC185" s="23">
        <f t="shared" si="272"/>
        <v>0</v>
      </c>
      <c r="AD185" s="23">
        <f t="shared" si="272"/>
        <v>0</v>
      </c>
      <c r="AE185" s="23">
        <f t="shared" si="272"/>
        <v>0</v>
      </c>
      <c r="AF185" s="23">
        <f t="shared" si="272"/>
        <v>0</v>
      </c>
      <c r="AG185" s="23">
        <f t="shared" si="272"/>
        <v>0</v>
      </c>
      <c r="AH185" s="23">
        <f t="shared" si="272"/>
        <v>0</v>
      </c>
    </row>
    <row r="186" spans="3:34" s="7" customFormat="1" x14ac:dyDescent="0.25">
      <c r="C186" s="28" t="s">
        <v>133</v>
      </c>
      <c r="D186" s="28"/>
      <c r="E186" s="15"/>
      <c r="F186" s="15"/>
      <c r="G186" s="15"/>
      <c r="H186" s="15"/>
      <c r="I186" s="17">
        <v>-169365</v>
      </c>
      <c r="J186" s="17">
        <v>-141006</v>
      </c>
      <c r="K186" s="17">
        <v>-142972</v>
      </c>
      <c r="L186" s="17">
        <v>-120283</v>
      </c>
      <c r="M186" s="24">
        <v>-87207</v>
      </c>
      <c r="N186" s="23">
        <f>M186*N$10</f>
        <v>-87207</v>
      </c>
      <c r="O186" s="23">
        <f t="shared" ref="O186:AH186" si="273">N186*O$10</f>
        <v>-87207</v>
      </c>
      <c r="P186" s="23">
        <f t="shared" si="273"/>
        <v>-87207</v>
      </c>
      <c r="Q186" s="23">
        <f t="shared" si="273"/>
        <v>-87207</v>
      </c>
      <c r="R186" s="23">
        <f t="shared" si="273"/>
        <v>-87207</v>
      </c>
      <c r="S186" s="23">
        <f t="shared" si="273"/>
        <v>-87207</v>
      </c>
      <c r="T186" s="23">
        <f t="shared" si="273"/>
        <v>-87207</v>
      </c>
      <c r="U186" s="23">
        <f t="shared" si="273"/>
        <v>-87207</v>
      </c>
      <c r="V186" s="23">
        <f t="shared" si="273"/>
        <v>-87207</v>
      </c>
      <c r="W186" s="23">
        <f t="shared" si="273"/>
        <v>-87207</v>
      </c>
      <c r="X186" s="23">
        <f t="shared" si="273"/>
        <v>0</v>
      </c>
      <c r="Y186" s="23">
        <f t="shared" si="273"/>
        <v>0</v>
      </c>
      <c r="Z186" s="23">
        <f t="shared" si="273"/>
        <v>0</v>
      </c>
      <c r="AA186" s="23">
        <f t="shared" si="273"/>
        <v>0</v>
      </c>
      <c r="AB186" s="23">
        <f t="shared" si="273"/>
        <v>0</v>
      </c>
      <c r="AC186" s="23">
        <f t="shared" si="273"/>
        <v>0</v>
      </c>
      <c r="AD186" s="23">
        <f t="shared" si="273"/>
        <v>0</v>
      </c>
      <c r="AE186" s="23">
        <f t="shared" si="273"/>
        <v>0</v>
      </c>
      <c r="AF186" s="23">
        <f t="shared" si="273"/>
        <v>0</v>
      </c>
      <c r="AG186" s="23">
        <f t="shared" si="273"/>
        <v>0</v>
      </c>
      <c r="AH186" s="23">
        <f t="shared" si="273"/>
        <v>0</v>
      </c>
    </row>
    <row r="187" spans="3:34" x14ac:dyDescent="0.25">
      <c r="C187" s="28" t="s">
        <v>136</v>
      </c>
      <c r="E187" s="36"/>
      <c r="F187" s="36"/>
      <c r="G187" s="36"/>
      <c r="H187" s="36"/>
      <c r="I187" s="17">
        <v>3956408</v>
      </c>
      <c r="J187" s="17">
        <v>5189440</v>
      </c>
      <c r="K187" s="17">
        <v>6545902</v>
      </c>
      <c r="L187" s="17">
        <v>8093069</v>
      </c>
      <c r="M187" s="84">
        <v>7654177</v>
      </c>
      <c r="N187" s="23">
        <f t="shared" ref="N187:AH187" si="274">(M187+N95+N98)*N10</f>
        <v>9030267.5598684195</v>
      </c>
      <c r="O187" s="23">
        <f t="shared" si="274"/>
        <v>10448912.542532943</v>
      </c>
      <c r="P187" s="23">
        <f t="shared" si="274"/>
        <v>11908126.053921044</v>
      </c>
      <c r="Q187" s="23">
        <f t="shared" si="274"/>
        <v>13405726.314322965</v>
      </c>
      <c r="R187" s="23">
        <f t="shared" si="274"/>
        <v>14939328.13587454</v>
      </c>
      <c r="S187" s="23">
        <f t="shared" si="274"/>
        <v>16506335.141131138</v>
      </c>
      <c r="T187" s="23">
        <f t="shared" si="274"/>
        <v>18103931.711997006</v>
      </c>
      <c r="U187" s="23">
        <f t="shared" si="274"/>
        <v>19729074.657726981</v>
      </c>
      <c r="V187" s="23">
        <f t="shared" si="274"/>
        <v>21378484.590139866</v>
      </c>
      <c r="W187" s="23">
        <f t="shared" si="274"/>
        <v>23048636.993572533</v>
      </c>
      <c r="X187" s="23">
        <f t="shared" si="274"/>
        <v>0</v>
      </c>
      <c r="Y187" s="23">
        <f t="shared" si="274"/>
        <v>0</v>
      </c>
      <c r="Z187" s="23">
        <f t="shared" si="274"/>
        <v>0</v>
      </c>
      <c r="AA187" s="23">
        <f t="shared" si="274"/>
        <v>0</v>
      </c>
      <c r="AB187" s="23">
        <f t="shared" si="274"/>
        <v>0</v>
      </c>
      <c r="AC187" s="23">
        <f t="shared" si="274"/>
        <v>0</v>
      </c>
      <c r="AD187" s="23">
        <f t="shared" si="274"/>
        <v>0</v>
      </c>
      <c r="AE187" s="23">
        <f t="shared" si="274"/>
        <v>0</v>
      </c>
      <c r="AF187" s="23">
        <f t="shared" si="274"/>
        <v>0</v>
      </c>
      <c r="AG187" s="23">
        <f t="shared" si="274"/>
        <v>0</v>
      </c>
      <c r="AH187" s="23">
        <f t="shared" si="274"/>
        <v>0</v>
      </c>
    </row>
    <row r="188" spans="3:34" s="7" customFormat="1" x14ac:dyDescent="0.25">
      <c r="C188" s="7" t="s">
        <v>139</v>
      </c>
      <c r="E188" s="13"/>
      <c r="F188" s="13"/>
      <c r="G188" s="13"/>
      <c r="H188" s="13"/>
      <c r="I188" s="18">
        <f>SUM(I183:I187)</f>
        <v>4625599</v>
      </c>
      <c r="J188" s="18">
        <f t="shared" ref="J188:AH188" si="275">SUM(J183:J187)</f>
        <v>5987440</v>
      </c>
      <c r="K188" s="18">
        <f t="shared" si="275"/>
        <v>7524011</v>
      </c>
      <c r="L188" s="18">
        <f t="shared" si="275"/>
        <v>9187033</v>
      </c>
      <c r="M188" s="84">
        <f>SUM(M183:M187)</f>
        <v>8774264</v>
      </c>
      <c r="N188" s="25">
        <f>SUM(N183:N187)</f>
        <v>10150354.55986842</v>
      </c>
      <c r="O188" s="25">
        <f t="shared" si="275"/>
        <v>11568999.542532943</v>
      </c>
      <c r="P188" s="25">
        <f t="shared" si="275"/>
        <v>13028213.053921044</v>
      </c>
      <c r="Q188" s="25">
        <f t="shared" si="275"/>
        <v>14525813.314322965</v>
      </c>
      <c r="R188" s="25">
        <f t="shared" si="275"/>
        <v>16059415.13587454</v>
      </c>
      <c r="S188" s="25">
        <f t="shared" si="275"/>
        <v>17626422.14113114</v>
      </c>
      <c r="T188" s="25">
        <f t="shared" si="275"/>
        <v>19224018.711997006</v>
      </c>
      <c r="U188" s="25">
        <f t="shared" si="275"/>
        <v>20849161.657726981</v>
      </c>
      <c r="V188" s="25">
        <f t="shared" si="275"/>
        <v>22498571.590139866</v>
      </c>
      <c r="W188" s="25">
        <f t="shared" si="275"/>
        <v>24168723.993572533</v>
      </c>
      <c r="X188" s="25">
        <f t="shared" si="275"/>
        <v>0</v>
      </c>
      <c r="Y188" s="25">
        <f t="shared" si="275"/>
        <v>0</v>
      </c>
      <c r="Z188" s="25">
        <f t="shared" si="275"/>
        <v>0</v>
      </c>
      <c r="AA188" s="25">
        <f t="shared" si="275"/>
        <v>0</v>
      </c>
      <c r="AB188" s="25">
        <f t="shared" si="275"/>
        <v>0</v>
      </c>
      <c r="AC188" s="25">
        <f t="shared" si="275"/>
        <v>0</v>
      </c>
      <c r="AD188" s="25">
        <f t="shared" si="275"/>
        <v>0</v>
      </c>
      <c r="AE188" s="25">
        <f t="shared" si="275"/>
        <v>0</v>
      </c>
      <c r="AF188" s="25">
        <f t="shared" si="275"/>
        <v>0</v>
      </c>
      <c r="AG188" s="25">
        <f t="shared" si="275"/>
        <v>0</v>
      </c>
      <c r="AH188" s="25">
        <f t="shared" si="275"/>
        <v>0</v>
      </c>
    </row>
    <row r="189" spans="3:34" s="7" customFormat="1" x14ac:dyDescent="0.25">
      <c r="C189" s="7" t="s">
        <v>626</v>
      </c>
      <c r="E189" s="39"/>
      <c r="I189" s="18">
        <f>I188+I181+I179</f>
        <v>5308864</v>
      </c>
      <c r="J189" s="18">
        <f t="shared" ref="J189:AH189" si="276">J188+J181+J179</f>
        <v>6737879</v>
      </c>
      <c r="K189" s="18">
        <f t="shared" si="276"/>
        <v>8427764</v>
      </c>
      <c r="L189" s="18">
        <f>L188+L181+L179</f>
        <v>10090902</v>
      </c>
      <c r="M189" s="85">
        <f>M188+M181+M179</f>
        <v>9649036</v>
      </c>
      <c r="N189" s="25">
        <f t="shared" si="276"/>
        <v>11048159.076336153</v>
      </c>
      <c r="O189" s="25">
        <f t="shared" si="276"/>
        <v>12515271.70361295</v>
      </c>
      <c r="P189" s="25">
        <f t="shared" si="276"/>
        <v>14025577.291552739</v>
      </c>
      <c r="Q189" s="25">
        <f t="shared" si="276"/>
        <v>15576997.399784183</v>
      </c>
      <c r="R189" s="25">
        <f t="shared" si="276"/>
        <v>17167253.523045748</v>
      </c>
      <c r="S189" s="25">
        <f t="shared" si="276"/>
        <v>18793859.425008699</v>
      </c>
      <c r="T189" s="25">
        <f t="shared" si="276"/>
        <v>20454113.207305748</v>
      </c>
      <c r="U189" s="25">
        <f t="shared" si="276"/>
        <v>22145089.102721751</v>
      </c>
      <c r="V189" s="25">
        <f t="shared" si="276"/>
        <v>23863628.980937663</v>
      </c>
      <c r="W189" s="25">
        <f t="shared" si="276"/>
        <v>25606333.55462224</v>
      </c>
      <c r="X189" s="25">
        <f t="shared" si="276"/>
        <v>0</v>
      </c>
      <c r="Y189" s="25">
        <f t="shared" si="276"/>
        <v>0</v>
      </c>
      <c r="Z189" s="25">
        <f t="shared" si="276"/>
        <v>0</v>
      </c>
      <c r="AA189" s="25">
        <f t="shared" si="276"/>
        <v>0</v>
      </c>
      <c r="AB189" s="25">
        <f t="shared" si="276"/>
        <v>0</v>
      </c>
      <c r="AC189" s="25">
        <f t="shared" si="276"/>
        <v>0</v>
      </c>
      <c r="AD189" s="25">
        <f t="shared" si="276"/>
        <v>0</v>
      </c>
      <c r="AE189" s="25">
        <f t="shared" si="276"/>
        <v>0</v>
      </c>
      <c r="AF189" s="25">
        <f t="shared" si="276"/>
        <v>0</v>
      </c>
      <c r="AG189" s="25">
        <f t="shared" si="276"/>
        <v>0</v>
      </c>
      <c r="AH189" s="25">
        <f t="shared" si="276"/>
        <v>0</v>
      </c>
    </row>
    <row r="190" spans="3:34" x14ac:dyDescent="0.25">
      <c r="C190" s="28">
        <v>0</v>
      </c>
      <c r="I190" s="32"/>
      <c r="J190" s="32"/>
      <c r="K190" s="32"/>
      <c r="L190" s="32"/>
      <c r="M190" s="84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spans="3:34" s="7" customFormat="1" x14ac:dyDescent="0.25">
      <c r="C191" s="7" t="s">
        <v>1643</v>
      </c>
      <c r="I191" s="33">
        <f>I167-I189</f>
        <v>0</v>
      </c>
      <c r="J191" s="33">
        <f t="shared" ref="J191:AH191" si="277">J167-J189</f>
        <v>0</v>
      </c>
      <c r="K191" s="33">
        <f t="shared" si="277"/>
        <v>0</v>
      </c>
      <c r="L191" s="33">
        <f t="shared" si="277"/>
        <v>0</v>
      </c>
      <c r="M191" s="33">
        <f>M167-M189</f>
        <v>0</v>
      </c>
      <c r="N191" s="33">
        <f t="shared" si="277"/>
        <v>0</v>
      </c>
      <c r="O191" s="33">
        <f t="shared" si="277"/>
        <v>0</v>
      </c>
      <c r="P191" s="33">
        <f t="shared" si="277"/>
        <v>0</v>
      </c>
      <c r="Q191" s="33">
        <f t="shared" si="277"/>
        <v>0</v>
      </c>
      <c r="R191" s="33">
        <f t="shared" si="277"/>
        <v>0</v>
      </c>
      <c r="S191" s="33">
        <f t="shared" si="277"/>
        <v>0</v>
      </c>
      <c r="T191" s="33">
        <f t="shared" si="277"/>
        <v>0</v>
      </c>
      <c r="U191" s="33">
        <f t="shared" si="277"/>
        <v>0</v>
      </c>
      <c r="V191" s="33">
        <f t="shared" si="277"/>
        <v>0</v>
      </c>
      <c r="W191" s="33">
        <f t="shared" si="277"/>
        <v>0</v>
      </c>
      <c r="X191" s="33">
        <f t="shared" si="277"/>
        <v>0</v>
      </c>
      <c r="Y191" s="33">
        <f t="shared" si="277"/>
        <v>0</v>
      </c>
      <c r="Z191" s="33">
        <f t="shared" si="277"/>
        <v>0</v>
      </c>
      <c r="AA191" s="33">
        <f t="shared" si="277"/>
        <v>0</v>
      </c>
      <c r="AB191" s="33">
        <f t="shared" si="277"/>
        <v>0</v>
      </c>
      <c r="AC191" s="33">
        <f t="shared" si="277"/>
        <v>0</v>
      </c>
      <c r="AD191" s="33">
        <f t="shared" si="277"/>
        <v>0</v>
      </c>
      <c r="AE191" s="33">
        <f t="shared" si="277"/>
        <v>0</v>
      </c>
      <c r="AF191" s="33">
        <f t="shared" si="277"/>
        <v>0</v>
      </c>
      <c r="AG191" s="33">
        <f t="shared" si="277"/>
        <v>0</v>
      </c>
      <c r="AH191" s="33">
        <f t="shared" si="277"/>
        <v>0</v>
      </c>
    </row>
    <row r="192" spans="3:34" x14ac:dyDescent="0.25">
      <c r="C192" s="28">
        <v>0</v>
      </c>
    </row>
    <row r="193" spans="3:3" x14ac:dyDescent="0.25">
      <c r="C193" s="28">
        <v>0</v>
      </c>
    </row>
    <row r="194" spans="3:3" x14ac:dyDescent="0.25">
      <c r="C194" s="28">
        <v>0</v>
      </c>
    </row>
    <row r="195" spans="3:3" x14ac:dyDescent="0.25">
      <c r="C195" s="28">
        <v>0</v>
      </c>
    </row>
    <row r="196" spans="3:3" x14ac:dyDescent="0.25">
      <c r="C196" s="28">
        <v>0</v>
      </c>
    </row>
    <row r="197" spans="3:3" x14ac:dyDescent="0.25">
      <c r="C197" s="28">
        <v>0</v>
      </c>
    </row>
    <row r="198" spans="3:3" x14ac:dyDescent="0.25">
      <c r="C198" s="28">
        <v>0</v>
      </c>
    </row>
    <row r="199" spans="3:3" x14ac:dyDescent="0.25">
      <c r="C199" s="28">
        <v>0</v>
      </c>
    </row>
    <row r="200" spans="3:3" x14ac:dyDescent="0.25">
      <c r="C200" s="28">
        <v>0</v>
      </c>
    </row>
    <row r="201" spans="3:3" x14ac:dyDescent="0.25">
      <c r="C201" s="28">
        <v>0</v>
      </c>
    </row>
    <row r="202" spans="3:3" x14ac:dyDescent="0.25">
      <c r="C202" s="28">
        <v>0</v>
      </c>
    </row>
    <row r="203" spans="3:3" x14ac:dyDescent="0.25">
      <c r="C203" s="28">
        <v>0</v>
      </c>
    </row>
  </sheetData>
  <conditionalFormatting sqref="I10:AH10">
    <cfRule type="cellIs" dxfId="18" priority="5" operator="equal">
      <formula>FALSE</formula>
    </cfRule>
  </conditionalFormatting>
  <conditionalFormatting sqref="I11:AH11">
    <cfRule type="cellIs" dxfId="17" priority="4" operator="equal">
      <formula>FALSE</formula>
    </cfRule>
  </conditionalFormatting>
  <conditionalFormatting sqref="I12:AH12">
    <cfRule type="cellIs" dxfId="16" priority="1" operator="equal">
      <formula>"Historical"</formula>
    </cfRule>
    <cfRule type="cellIs" dxfId="15" priority="2" stopIfTrue="1" operator="equal">
      <formula>"TTM"</formula>
    </cfRule>
    <cfRule type="cellIs" dxfId="14" priority="3" operator="equal">
      <formula>FALSE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AH67"/>
  <sheetViews>
    <sheetView tabSelected="1" zoomScale="80" zoomScaleNormal="80" workbookViewId="0">
      <pane xSplit="8" ySplit="10" topLeftCell="J11" activePane="bottomRight" state="frozen"/>
      <selection pane="topRight" activeCell="I1" sqref="I1"/>
      <selection pane="bottomLeft" activeCell="A10" sqref="A10"/>
      <selection pane="bottomRight" activeCell="O30" sqref="O30"/>
    </sheetView>
  </sheetViews>
  <sheetFormatPr defaultColWidth="0" defaultRowHeight="15.75" x14ac:dyDescent="0.25"/>
  <cols>
    <col min="1" max="3" width="1.625" customWidth="1"/>
    <col min="4" max="5" width="9" customWidth="1"/>
    <col min="6" max="6" width="17.125" customWidth="1"/>
    <col min="7" max="7" width="19.875" bestFit="1" customWidth="1"/>
    <col min="8" max="8" width="9" customWidth="1"/>
    <col min="9" max="9" width="22.125" bestFit="1" customWidth="1"/>
    <col min="10" max="12" width="8" bestFit="1" customWidth="1"/>
    <col min="13" max="13" width="6.375" bestFit="1" customWidth="1"/>
    <col min="14" max="23" width="12.375" bestFit="1" customWidth="1"/>
    <col min="24" max="34" width="9" customWidth="1"/>
    <col min="35" max="16384" width="9" hidden="1"/>
  </cols>
  <sheetData>
    <row r="2" spans="2:34" x14ac:dyDescent="0.25">
      <c r="B2" s="2"/>
      <c r="C2" s="2" t="s">
        <v>1663</v>
      </c>
      <c r="D2" s="2"/>
      <c r="E2" s="2"/>
      <c r="F2" s="2"/>
      <c r="G2" s="2"/>
      <c r="H2" s="2"/>
      <c r="I2" s="6"/>
      <c r="J2" s="6"/>
      <c r="K2" s="6"/>
      <c r="L2" s="6"/>
      <c r="M2" s="4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x14ac:dyDescent="0.25">
      <c r="B3" s="2"/>
      <c r="C3" s="2"/>
      <c r="D3" s="2" t="s">
        <v>1642</v>
      </c>
      <c r="E3" s="2"/>
      <c r="F3" s="2"/>
      <c r="G3" s="2"/>
      <c r="H3" s="2"/>
      <c r="I3" s="6">
        <f>YEAR('Operating Model'!I9)</f>
        <v>2022</v>
      </c>
      <c r="J3" s="6">
        <f>YEAR('Operating Model'!J9)</f>
        <v>2023</v>
      </c>
      <c r="K3" s="6">
        <f>YEAR('Operating Model'!K9)</f>
        <v>2024</v>
      </c>
      <c r="L3" s="6">
        <f>YEAR('Operating Model'!L9)</f>
        <v>2025</v>
      </c>
      <c r="M3" s="41">
        <f>YEAR('Operating Model'!M9)</f>
        <v>2025</v>
      </c>
      <c r="N3" s="6">
        <f>YEAR('Operating Model'!N9)</f>
        <v>2026</v>
      </c>
      <c r="O3" s="6">
        <f>YEAR('Operating Model'!O9)</f>
        <v>2027</v>
      </c>
      <c r="P3" s="6">
        <f>YEAR('Operating Model'!P9)</f>
        <v>2028</v>
      </c>
      <c r="Q3" s="6">
        <f>YEAR('Operating Model'!Q9)</f>
        <v>2029</v>
      </c>
      <c r="R3" s="6">
        <f>YEAR('Operating Model'!R9)</f>
        <v>2030</v>
      </c>
      <c r="S3" s="6">
        <f>YEAR('Operating Model'!S9)</f>
        <v>2031</v>
      </c>
      <c r="T3" s="6">
        <f>YEAR('Operating Model'!T9)</f>
        <v>2032</v>
      </c>
      <c r="U3" s="6">
        <f>YEAR('Operating Model'!U9)</f>
        <v>2033</v>
      </c>
      <c r="V3" s="6">
        <f>YEAR('Operating Model'!V9)</f>
        <v>2034</v>
      </c>
      <c r="W3" s="6">
        <f>YEAR('Operating Model'!W9)</f>
        <v>2035</v>
      </c>
      <c r="X3" s="6">
        <f>YEAR('Operating Model'!X9)</f>
        <v>2036</v>
      </c>
      <c r="Y3" s="6">
        <f>YEAR('Operating Model'!Y9)</f>
        <v>2037</v>
      </c>
      <c r="Z3" s="6">
        <f>YEAR('Operating Model'!Z9)</f>
        <v>2038</v>
      </c>
      <c r="AA3" s="6">
        <f>YEAR('Operating Model'!AA9)</f>
        <v>2039</v>
      </c>
      <c r="AB3" s="6">
        <f>YEAR('Operating Model'!AB9)</f>
        <v>2040</v>
      </c>
      <c r="AC3" s="6">
        <f>YEAR('Operating Model'!AC9)</f>
        <v>2041</v>
      </c>
      <c r="AD3" s="6">
        <f>YEAR('Operating Model'!AD9)</f>
        <v>2042</v>
      </c>
      <c r="AE3" s="6">
        <f>YEAR('Operating Model'!AE9)</f>
        <v>2043</v>
      </c>
      <c r="AF3" s="6">
        <f>YEAR('Operating Model'!AF9)</f>
        <v>2044</v>
      </c>
      <c r="AG3" s="6">
        <f>YEAR('Operating Model'!AG9)</f>
        <v>2045</v>
      </c>
      <c r="AH3" s="6">
        <f>YEAR('Operating Model'!AH9)</f>
        <v>2046</v>
      </c>
    </row>
    <row r="4" spans="2:34" x14ac:dyDescent="0.25">
      <c r="B4" s="2"/>
      <c r="C4" s="2"/>
      <c r="D4" s="2" t="s">
        <v>1661</v>
      </c>
      <c r="E4" s="2"/>
      <c r="F4" s="2"/>
      <c r="G4" s="2"/>
      <c r="H4" s="2"/>
      <c r="I4" s="6" t="b">
        <f>'Operating Model'!I10</f>
        <v>0</v>
      </c>
      <c r="J4" s="6" t="b">
        <f>'Operating Model'!J10</f>
        <v>0</v>
      </c>
      <c r="K4" s="6" t="b">
        <f>'Operating Model'!K10</f>
        <v>0</v>
      </c>
      <c r="L4" s="6" t="b">
        <f>'Operating Model'!L10</f>
        <v>0</v>
      </c>
      <c r="M4" s="41" t="b">
        <f>'Operating Model'!M10</f>
        <v>0</v>
      </c>
      <c r="N4" s="6" t="b">
        <f>'Operating Model'!N10</f>
        <v>1</v>
      </c>
      <c r="O4" s="6" t="b">
        <f>'Operating Model'!O10</f>
        <v>1</v>
      </c>
      <c r="P4" s="6" t="b">
        <f>'Operating Model'!P10</f>
        <v>1</v>
      </c>
      <c r="Q4" s="6" t="b">
        <f>'Operating Model'!Q10</f>
        <v>1</v>
      </c>
      <c r="R4" s="6" t="b">
        <f>'Operating Model'!R10</f>
        <v>1</v>
      </c>
      <c r="S4" s="6" t="b">
        <f>'Operating Model'!S10</f>
        <v>1</v>
      </c>
      <c r="T4" s="6" t="b">
        <f>'Operating Model'!T10</f>
        <v>1</v>
      </c>
      <c r="U4" s="6" t="b">
        <f>'Operating Model'!U10</f>
        <v>1</v>
      </c>
      <c r="V4" s="6" t="b">
        <f>'Operating Model'!V10</f>
        <v>1</v>
      </c>
      <c r="W4" s="6" t="b">
        <f>'Operating Model'!W10</f>
        <v>1</v>
      </c>
      <c r="X4" s="6" t="b">
        <f>'Operating Model'!X10</f>
        <v>0</v>
      </c>
      <c r="Y4" s="6" t="b">
        <f>'Operating Model'!Y10</f>
        <v>0</v>
      </c>
      <c r="Z4" s="6" t="b">
        <f>'Operating Model'!Z10</f>
        <v>0</v>
      </c>
      <c r="AA4" s="6" t="b">
        <f>'Operating Model'!AA10</f>
        <v>0</v>
      </c>
      <c r="AB4" s="6" t="b">
        <f>'Operating Model'!AB10</f>
        <v>0</v>
      </c>
      <c r="AC4" s="6" t="b">
        <f>'Operating Model'!AC10</f>
        <v>0</v>
      </c>
      <c r="AD4" s="6" t="b">
        <f>'Operating Model'!AD10</f>
        <v>0</v>
      </c>
      <c r="AE4" s="6" t="b">
        <f>'Operating Model'!AE10</f>
        <v>0</v>
      </c>
      <c r="AF4" s="6" t="b">
        <f>'Operating Model'!AF10</f>
        <v>0</v>
      </c>
      <c r="AG4" s="6" t="b">
        <f>'Operating Model'!AG10</f>
        <v>0</v>
      </c>
      <c r="AH4" s="6" t="b">
        <f>'Operating Model'!AH10</f>
        <v>0</v>
      </c>
    </row>
    <row r="5" spans="2:34" x14ac:dyDescent="0.25">
      <c r="B5" s="2"/>
      <c r="C5" s="2"/>
      <c r="D5" s="2" t="s">
        <v>1662</v>
      </c>
      <c r="E5" s="2"/>
      <c r="F5" s="2"/>
      <c r="G5" s="2"/>
      <c r="H5" s="2"/>
      <c r="I5" s="40">
        <f t="shared" ref="I5:AH5" si="0">(H5+I4)*I4</f>
        <v>0</v>
      </c>
      <c r="J5" s="40">
        <f t="shared" si="0"/>
        <v>0</v>
      </c>
      <c r="K5" s="40">
        <f t="shared" si="0"/>
        <v>0</v>
      </c>
      <c r="L5" s="40">
        <f t="shared" si="0"/>
        <v>0</v>
      </c>
      <c r="M5" s="42">
        <f t="shared" si="0"/>
        <v>0</v>
      </c>
      <c r="N5" s="40">
        <f t="shared" si="0"/>
        <v>1</v>
      </c>
      <c r="O5" s="40">
        <f t="shared" si="0"/>
        <v>2</v>
      </c>
      <c r="P5" s="40">
        <f t="shared" si="0"/>
        <v>3</v>
      </c>
      <c r="Q5" s="40">
        <f t="shared" si="0"/>
        <v>4</v>
      </c>
      <c r="R5" s="40">
        <f t="shared" si="0"/>
        <v>5</v>
      </c>
      <c r="S5" s="40">
        <f t="shared" si="0"/>
        <v>6</v>
      </c>
      <c r="T5" s="40">
        <f t="shared" si="0"/>
        <v>7</v>
      </c>
      <c r="U5" s="40">
        <f t="shared" si="0"/>
        <v>8</v>
      </c>
      <c r="V5" s="40">
        <f t="shared" si="0"/>
        <v>9</v>
      </c>
      <c r="W5" s="40">
        <f t="shared" si="0"/>
        <v>10</v>
      </c>
      <c r="X5" s="40">
        <f t="shared" si="0"/>
        <v>0</v>
      </c>
      <c r="Y5" s="40">
        <f t="shared" si="0"/>
        <v>0</v>
      </c>
      <c r="Z5" s="40">
        <f t="shared" si="0"/>
        <v>0</v>
      </c>
      <c r="AA5" s="40">
        <f t="shared" si="0"/>
        <v>0</v>
      </c>
      <c r="AB5" s="40">
        <f t="shared" si="0"/>
        <v>0</v>
      </c>
      <c r="AC5" s="40">
        <f t="shared" si="0"/>
        <v>0</v>
      </c>
      <c r="AD5" s="40">
        <f t="shared" si="0"/>
        <v>0</v>
      </c>
      <c r="AE5" s="40">
        <f t="shared" si="0"/>
        <v>0</v>
      </c>
      <c r="AF5" s="40">
        <f t="shared" si="0"/>
        <v>0</v>
      </c>
      <c r="AG5" s="40">
        <f t="shared" si="0"/>
        <v>0</v>
      </c>
      <c r="AH5" s="40">
        <f t="shared" si="0"/>
        <v>0</v>
      </c>
    </row>
    <row r="6" spans="2:34" x14ac:dyDescent="0.25">
      <c r="B6" s="2"/>
      <c r="C6" s="2"/>
      <c r="D6" s="2" t="s">
        <v>1664</v>
      </c>
      <c r="E6" s="2"/>
      <c r="F6" s="2"/>
      <c r="G6" s="2"/>
      <c r="H6" s="2"/>
      <c r="I6" s="40">
        <f t="shared" ref="I6:AH6" si="1">(H5+0.5)*I4</f>
        <v>0</v>
      </c>
      <c r="J6" s="40">
        <f t="shared" si="1"/>
        <v>0</v>
      </c>
      <c r="K6" s="40">
        <f t="shared" si="1"/>
        <v>0</v>
      </c>
      <c r="L6" s="40">
        <f t="shared" si="1"/>
        <v>0</v>
      </c>
      <c r="M6" s="42">
        <f t="shared" si="1"/>
        <v>0</v>
      </c>
      <c r="N6" s="40">
        <f t="shared" si="1"/>
        <v>0.5</v>
      </c>
      <c r="O6" s="40">
        <f t="shared" si="1"/>
        <v>1.5</v>
      </c>
      <c r="P6" s="40">
        <f t="shared" si="1"/>
        <v>2.5</v>
      </c>
      <c r="Q6" s="40">
        <f t="shared" si="1"/>
        <v>3.5</v>
      </c>
      <c r="R6" s="40">
        <f t="shared" si="1"/>
        <v>4.5</v>
      </c>
      <c r="S6" s="40">
        <f t="shared" si="1"/>
        <v>5.5</v>
      </c>
      <c r="T6" s="40">
        <f t="shared" si="1"/>
        <v>6.5</v>
      </c>
      <c r="U6" s="40">
        <f t="shared" si="1"/>
        <v>7.5</v>
      </c>
      <c r="V6" s="40">
        <f t="shared" si="1"/>
        <v>8.5</v>
      </c>
      <c r="W6" s="40">
        <f t="shared" si="1"/>
        <v>9.5</v>
      </c>
      <c r="X6" s="40">
        <f t="shared" si="1"/>
        <v>0</v>
      </c>
      <c r="Y6" s="40">
        <f t="shared" si="1"/>
        <v>0</v>
      </c>
      <c r="Z6" s="40">
        <f t="shared" si="1"/>
        <v>0</v>
      </c>
      <c r="AA6" s="40">
        <f t="shared" si="1"/>
        <v>0</v>
      </c>
      <c r="AB6" s="40">
        <f t="shared" si="1"/>
        <v>0</v>
      </c>
      <c r="AC6" s="40">
        <f t="shared" si="1"/>
        <v>0</v>
      </c>
      <c r="AD6" s="40">
        <f t="shared" si="1"/>
        <v>0</v>
      </c>
      <c r="AE6" s="40">
        <f t="shared" si="1"/>
        <v>0</v>
      </c>
      <c r="AF6" s="40">
        <f t="shared" si="1"/>
        <v>0</v>
      </c>
      <c r="AG6" s="40">
        <f t="shared" si="1"/>
        <v>0</v>
      </c>
      <c r="AH6" s="40">
        <f t="shared" si="1"/>
        <v>0</v>
      </c>
    </row>
    <row r="8" spans="2:34" x14ac:dyDescent="0.25">
      <c r="C8" t="s">
        <v>1673</v>
      </c>
      <c r="G8" s="95">
        <f>WACC!F34</f>
        <v>7.8425823511544354E-2</v>
      </c>
      <c r="I8" s="66" t="s">
        <v>1682</v>
      </c>
      <c r="J8" s="66"/>
      <c r="K8" s="66"/>
      <c r="L8" s="67">
        <f>G44</f>
        <v>39.026670716810756</v>
      </c>
    </row>
    <row r="9" spans="2:34" x14ac:dyDescent="0.25">
      <c r="C9" t="s">
        <v>1674</v>
      </c>
      <c r="G9" s="96">
        <v>0.04</v>
      </c>
      <c r="I9" s="66" t="s">
        <v>1748</v>
      </c>
      <c r="J9" s="66"/>
      <c r="K9" s="66"/>
      <c r="L9" s="66">
        <f>G45</f>
        <v>28.91</v>
      </c>
    </row>
    <row r="10" spans="2:34" x14ac:dyDescent="0.25">
      <c r="C10" t="s">
        <v>1803</v>
      </c>
      <c r="G10" s="96">
        <v>0.06</v>
      </c>
    </row>
    <row r="12" spans="2:34" x14ac:dyDescent="0.25">
      <c r="C12" t="s">
        <v>1670</v>
      </c>
      <c r="I12" s="81">
        <f>'Operating Model'!I48*I4</f>
        <v>0</v>
      </c>
      <c r="J12" s="81">
        <f>'Operating Model'!J48*J4</f>
        <v>0</v>
      </c>
      <c r="K12" s="81">
        <f>'Operating Model'!K48*K4</f>
        <v>0</v>
      </c>
      <c r="L12" s="81">
        <f>'Operating Model'!L48*L4</f>
        <v>0</v>
      </c>
      <c r="M12" s="81">
        <f>'Operating Model'!M48*M4</f>
        <v>0</v>
      </c>
      <c r="N12" s="81">
        <f>'Operating Model'!N48*N4</f>
        <v>-0.19483648027372652</v>
      </c>
      <c r="O12" s="81">
        <f>'Operating Model'!O48*O4</f>
        <v>-0.19483648027372652</v>
      </c>
      <c r="P12" s="81">
        <f>'Operating Model'!P48*P4</f>
        <v>-0.19483648027372652</v>
      </c>
      <c r="Q12" s="81">
        <f>'Operating Model'!Q48*Q4</f>
        <v>-0.19483648027372652</v>
      </c>
      <c r="R12" s="81">
        <f>'Operating Model'!R48*R4</f>
        <v>-0.19483648027372652</v>
      </c>
      <c r="S12" s="81">
        <f>'Operating Model'!S48*S4</f>
        <v>-0.19483648027372652</v>
      </c>
      <c r="T12" s="81">
        <f>'Operating Model'!T48*T4</f>
        <v>-0.19483648027372652</v>
      </c>
      <c r="U12" s="81">
        <f>'Operating Model'!U48*U4</f>
        <v>-0.19483648027372652</v>
      </c>
      <c r="V12" s="81">
        <f>'Operating Model'!V48*V4</f>
        <v>-0.19483648027372652</v>
      </c>
      <c r="W12" s="81">
        <f>'Operating Model'!W48*W4</f>
        <v>-0.19483648027372652</v>
      </c>
      <c r="X12" s="81">
        <f>'Operating Model'!X48*X4</f>
        <v>0</v>
      </c>
      <c r="Y12" s="81">
        <f>'Operating Model'!Y48*Y4</f>
        <v>0</v>
      </c>
      <c r="Z12" s="81">
        <f>'Operating Model'!Z48*Z4</f>
        <v>0</v>
      </c>
      <c r="AA12" s="81">
        <f>'Operating Model'!AA48*AA4</f>
        <v>0</v>
      </c>
      <c r="AB12" s="81">
        <f>'Operating Model'!AB48*AB4</f>
        <v>0</v>
      </c>
      <c r="AC12" s="81">
        <f>'Operating Model'!AC48*AC4</f>
        <v>0</v>
      </c>
      <c r="AD12" s="81">
        <f>'Operating Model'!AD48*AD4</f>
        <v>0</v>
      </c>
      <c r="AE12" s="81">
        <f>'Operating Model'!AE48*AE4</f>
        <v>0</v>
      </c>
      <c r="AF12" s="81">
        <f>'Operating Model'!AF48*AF4</f>
        <v>0</v>
      </c>
      <c r="AG12" s="81">
        <f>'Operating Model'!AG48*AG4</f>
        <v>0</v>
      </c>
      <c r="AH12" s="81">
        <f>'Operating Model'!AH48*AH4</f>
        <v>0</v>
      </c>
    </row>
    <row r="14" spans="2:34" x14ac:dyDescent="0.25">
      <c r="C14" t="s">
        <v>1665</v>
      </c>
      <c r="I14" s="79">
        <f>'Operating Model'!I71*I4</f>
        <v>0</v>
      </c>
      <c r="J14" s="79">
        <f>'Operating Model'!J71*J4</f>
        <v>0</v>
      </c>
      <c r="K14" s="79">
        <f>'Operating Model'!K71*K4</f>
        <v>0</v>
      </c>
      <c r="L14" s="79">
        <f>'Operating Model'!L71*L4</f>
        <v>0</v>
      </c>
      <c r="M14" s="79">
        <f>'Operating Model'!M71*M4</f>
        <v>0</v>
      </c>
      <c r="N14" s="79">
        <f>'Operating Model'!N71*N4</f>
        <v>1704220.9765476091</v>
      </c>
      <c r="O14" s="79">
        <f>'Operating Model'!O71*O4</f>
        <v>1757072.8777497048</v>
      </c>
      <c r="P14" s="79">
        <f>'Operating Model'!P71*P4</f>
        <v>1807458.3308032262</v>
      </c>
      <c r="Q14" s="79">
        <f>'Operating Model'!Q71*Q4</f>
        <v>1855134.0489317258</v>
      </c>
      <c r="R14" s="79">
        <f>'Operating Model'!R71*R4</f>
        <v>1899847.4025147259</v>
      </c>
      <c r="S14" s="79">
        <f>'Operating Model'!S71*S4</f>
        <v>1941336.0975271137</v>
      </c>
      <c r="T14" s="79">
        <f>'Operating Model'!T71*T4</f>
        <v>1979327.8406449175</v>
      </c>
      <c r="U14" s="79">
        <f>'Operating Model'!U71*U4</f>
        <v>2013539.9903377807</v>
      </c>
      <c r="V14" s="79">
        <f>'Operating Model'!V71*V4</f>
        <v>2043679.1932305824</v>
      </c>
      <c r="W14" s="79">
        <f>'Operating Model'!W71*W4</f>
        <v>2069441.0049763881</v>
      </c>
      <c r="X14" s="79">
        <f>'Operating Model'!X71*X4</f>
        <v>0</v>
      </c>
      <c r="Y14" s="79">
        <f>'Operating Model'!Y71*Y4</f>
        <v>0</v>
      </c>
      <c r="Z14" s="79">
        <f>'Operating Model'!Z71*Z4</f>
        <v>0</v>
      </c>
      <c r="AA14" s="79">
        <f>'Operating Model'!AA71*AA4</f>
        <v>0</v>
      </c>
      <c r="AB14" s="79">
        <f>'Operating Model'!AB71*AB4</f>
        <v>0</v>
      </c>
      <c r="AC14" s="79">
        <f>'Operating Model'!AC71*AC4</f>
        <v>0</v>
      </c>
      <c r="AD14" s="79">
        <f>'Operating Model'!AD71*AD4</f>
        <v>0</v>
      </c>
      <c r="AE14" s="79">
        <f>'Operating Model'!AE71*AE4</f>
        <v>0</v>
      </c>
      <c r="AF14" s="79">
        <f>'Operating Model'!AF71*AF4</f>
        <v>0</v>
      </c>
      <c r="AG14" s="79">
        <f>'Operating Model'!AG71*AG4</f>
        <v>0</v>
      </c>
      <c r="AH14" s="79">
        <f>'Operating Model'!AH71*AH4</f>
        <v>0</v>
      </c>
    </row>
    <row r="15" spans="2:34" x14ac:dyDescent="0.25">
      <c r="C15" t="s">
        <v>1666</v>
      </c>
      <c r="I15" s="32">
        <f>I12*I14</f>
        <v>0</v>
      </c>
      <c r="J15" s="32">
        <f t="shared" ref="J15:AH15" si="2">J12*J14</f>
        <v>0</v>
      </c>
      <c r="K15" s="32">
        <f t="shared" si="2"/>
        <v>0</v>
      </c>
      <c r="L15" s="32">
        <f t="shared" si="2"/>
        <v>0</v>
      </c>
      <c r="M15" s="32">
        <f t="shared" si="2"/>
        <v>0</v>
      </c>
      <c r="N15" s="32">
        <f t="shared" si="2"/>
        <v>-332044.41667918919</v>
      </c>
      <c r="O15" s="32">
        <f t="shared" si="2"/>
        <v>-342341.89508518024</v>
      </c>
      <c r="P15" s="32">
        <f t="shared" si="2"/>
        <v>-352158.81941512547</v>
      </c>
      <c r="Q15" s="32">
        <f t="shared" si="2"/>
        <v>-361447.78852980462</v>
      </c>
      <c r="R15" s="32">
        <f t="shared" si="2"/>
        <v>-370159.58096315095</v>
      </c>
      <c r="S15" s="32">
        <f t="shared" si="2"/>
        <v>-378243.09227051469</v>
      </c>
      <c r="T15" s="32">
        <f t="shared" si="2"/>
        <v>-385645.26977905119</v>
      </c>
      <c r="U15" s="32">
        <f>U12*U14</f>
        <v>-392311.04460780649</v>
      </c>
      <c r="V15" s="32">
        <f t="shared" si="2"/>
        <v>-398183.2608176957</v>
      </c>
      <c r="W15" s="32">
        <f t="shared" si="2"/>
        <v>-403202.60154372279</v>
      </c>
      <c r="X15" s="32">
        <f t="shared" si="2"/>
        <v>0</v>
      </c>
      <c r="Y15" s="32">
        <f t="shared" si="2"/>
        <v>0</v>
      </c>
      <c r="Z15" s="32">
        <f t="shared" si="2"/>
        <v>0</v>
      </c>
      <c r="AA15" s="32">
        <f t="shared" si="2"/>
        <v>0</v>
      </c>
      <c r="AB15" s="32">
        <f t="shared" si="2"/>
        <v>0</v>
      </c>
      <c r="AC15" s="32">
        <f t="shared" si="2"/>
        <v>0</v>
      </c>
      <c r="AD15" s="32">
        <f t="shared" si="2"/>
        <v>0</v>
      </c>
      <c r="AE15" s="32">
        <f t="shared" si="2"/>
        <v>0</v>
      </c>
      <c r="AF15" s="32">
        <f t="shared" si="2"/>
        <v>0</v>
      </c>
      <c r="AG15" s="32">
        <f t="shared" si="2"/>
        <v>0</v>
      </c>
      <c r="AH15" s="32">
        <f t="shared" si="2"/>
        <v>0</v>
      </c>
    </row>
    <row r="16" spans="2:34" s="27" customFormat="1" x14ac:dyDescent="0.25">
      <c r="C16" s="27" t="s">
        <v>1667</v>
      </c>
      <c r="I16" s="33">
        <f>I14+I15</f>
        <v>0</v>
      </c>
      <c r="J16" s="33">
        <f t="shared" ref="J16:AH16" si="3">J14+J15</f>
        <v>0</v>
      </c>
      <c r="K16" s="33">
        <f t="shared" si="3"/>
        <v>0</v>
      </c>
      <c r="L16" s="33">
        <f t="shared" si="3"/>
        <v>0</v>
      </c>
      <c r="M16" s="33">
        <f t="shared" si="3"/>
        <v>0</v>
      </c>
      <c r="N16" s="33">
        <f t="shared" si="3"/>
        <v>1372176.55986842</v>
      </c>
      <c r="O16" s="33">
        <f t="shared" si="3"/>
        <v>1414730.9826645246</v>
      </c>
      <c r="P16" s="33">
        <f t="shared" si="3"/>
        <v>1455299.5113881007</v>
      </c>
      <c r="Q16" s="33">
        <f t="shared" si="3"/>
        <v>1493686.2604019211</v>
      </c>
      <c r="R16" s="33">
        <f t="shared" si="3"/>
        <v>1529687.8215515749</v>
      </c>
      <c r="S16" s="33">
        <f t="shared" si="3"/>
        <v>1563093.005256599</v>
      </c>
      <c r="T16" s="33">
        <f t="shared" si="3"/>
        <v>1593682.5708658663</v>
      </c>
      <c r="U16" s="33">
        <f t="shared" si="3"/>
        <v>1621228.9457299742</v>
      </c>
      <c r="V16" s="33">
        <f t="shared" si="3"/>
        <v>1645495.9324128868</v>
      </c>
      <c r="W16" s="33">
        <f t="shared" si="3"/>
        <v>1666238.4034326654</v>
      </c>
      <c r="X16" s="33">
        <f t="shared" si="3"/>
        <v>0</v>
      </c>
      <c r="Y16" s="33">
        <f t="shared" si="3"/>
        <v>0</v>
      </c>
      <c r="Z16" s="33">
        <f t="shared" si="3"/>
        <v>0</v>
      </c>
      <c r="AA16" s="33">
        <f t="shared" si="3"/>
        <v>0</v>
      </c>
      <c r="AB16" s="33">
        <f t="shared" si="3"/>
        <v>0</v>
      </c>
      <c r="AC16" s="33">
        <f t="shared" si="3"/>
        <v>0</v>
      </c>
      <c r="AD16" s="33">
        <f t="shared" si="3"/>
        <v>0</v>
      </c>
      <c r="AE16" s="33">
        <f t="shared" si="3"/>
        <v>0</v>
      </c>
      <c r="AF16" s="33">
        <f t="shared" si="3"/>
        <v>0</v>
      </c>
      <c r="AG16" s="33">
        <f t="shared" si="3"/>
        <v>0</v>
      </c>
      <c r="AH16" s="33">
        <f t="shared" si="3"/>
        <v>0</v>
      </c>
    </row>
    <row r="17" spans="3:34" s="27" customFormat="1" x14ac:dyDescent="0.25">
      <c r="C17" s="44" t="s">
        <v>1819</v>
      </c>
      <c r="D17" s="79"/>
      <c r="I17" s="79">
        <f>-PPE!I6*I4</f>
        <v>0</v>
      </c>
      <c r="J17" s="79">
        <f>-PPE!J6*J4</f>
        <v>0</v>
      </c>
      <c r="K17" s="79">
        <f>-PPE!K6*K4</f>
        <v>0</v>
      </c>
      <c r="L17" s="79">
        <f>-PPE!L6*L4</f>
        <v>0</v>
      </c>
      <c r="M17" s="79">
        <f>-PPE!M6*M4</f>
        <v>0</v>
      </c>
      <c r="N17" s="79">
        <f>-PPE!N6*N4</f>
        <v>244444.33369999999</v>
      </c>
      <c r="O17" s="79">
        <f>-PPE!O6*O4</f>
        <v>270671.86977499997</v>
      </c>
      <c r="P17" s="79">
        <f>-PPE!P6*P4</f>
        <v>296428.11720175995</v>
      </c>
      <c r="Q17" s="79">
        <f>-PPE!Q6*Q4</f>
        <v>321673.58672596392</v>
      </c>
      <c r="R17" s="79">
        <f>-PPE!R6*R4</f>
        <v>346367.77202979696</v>
      </c>
      <c r="S17" s="79">
        <f>-PPE!S6*S4</f>
        <v>370469.13059552794</v>
      </c>
      <c r="T17" s="79">
        <f>-PPE!T6*T4</f>
        <v>393935.0642606293</v>
      </c>
      <c r="U17" s="79">
        <f>-PPE!U6*U4</f>
        <v>416721.89945990447</v>
      </c>
      <c r="V17" s="79">
        <f>-PPE!V6*V4</f>
        <v>438784.86715002969</v>
      </c>
      <c r="W17" s="79">
        <f>-PPE!W6*W4</f>
        <v>458825.54033762997</v>
      </c>
      <c r="X17" s="79">
        <f>-PPE!X6*X4</f>
        <v>0</v>
      </c>
      <c r="Y17" s="79">
        <f>-PPE!Y6*Y4</f>
        <v>0</v>
      </c>
      <c r="Z17" s="79">
        <f>-PPE!Z6*Z4</f>
        <v>0</v>
      </c>
      <c r="AA17" s="79">
        <f>-PPE!AA6*AA4</f>
        <v>0</v>
      </c>
      <c r="AB17" s="79">
        <f>-PPE!AB6*AB4</f>
        <v>0</v>
      </c>
      <c r="AC17" s="79">
        <f>-PPE!AC6*AC4</f>
        <v>0</v>
      </c>
      <c r="AD17" s="79">
        <f>-PPE!AD6*AD4</f>
        <v>0</v>
      </c>
      <c r="AE17" s="79">
        <f>-PPE!AE6*AE4</f>
        <v>0</v>
      </c>
      <c r="AF17" s="79">
        <f>-PPE!AF6*AF4</f>
        <v>0</v>
      </c>
      <c r="AG17" s="79">
        <f>-PPE!AG6*AG4</f>
        <v>0</v>
      </c>
      <c r="AH17" s="79">
        <f>-PPE!AH6*AH4</f>
        <v>0</v>
      </c>
    </row>
    <row r="18" spans="3:34" x14ac:dyDescent="0.25">
      <c r="C18" t="s">
        <v>1668</v>
      </c>
      <c r="I18" s="79">
        <f>'Operating Model'!I117*I4</f>
        <v>0</v>
      </c>
      <c r="J18" s="79">
        <f>'Operating Model'!J117*J4</f>
        <v>0</v>
      </c>
      <c r="K18" s="79">
        <f>'Operating Model'!K117*K4</f>
        <v>0</v>
      </c>
      <c r="L18" s="79">
        <f>'Operating Model'!L117*L4</f>
        <v>0</v>
      </c>
      <c r="M18" s="79">
        <f>'Operating Model'!M117*M4</f>
        <v>0</v>
      </c>
      <c r="N18" s="79">
        <f>'Operating Model'!N117*N4</f>
        <v>-533206.674</v>
      </c>
      <c r="O18" s="79">
        <f>'Operating Model'!O117*O4</f>
        <v>-524550.72149999999</v>
      </c>
      <c r="P18" s="79">
        <f>'Operating Model'!P117*P4</f>
        <v>-515124.94853520003</v>
      </c>
      <c r="Q18" s="79">
        <f>'Operating Model'!Q117*Q4</f>
        <v>-504909.39048407989</v>
      </c>
      <c r="R18" s="79">
        <f>'Operating Model'!R117*R4</f>
        <v>-493883.70607666136</v>
      </c>
      <c r="S18" s="79">
        <f>'Operating Model'!S117*S4</f>
        <v>-482027.1713146189</v>
      </c>
      <c r="T18" s="79">
        <f>'Operating Model'!T117*T4</f>
        <v>-469318.67330202676</v>
      </c>
      <c r="U18" s="79">
        <f>'Operating Model'!U117*U4</f>
        <v>-455736.70398550306</v>
      </c>
      <c r="V18" s="79">
        <f>'Operating Model'!V117*V4</f>
        <v>-441259.35380250483</v>
      </c>
      <c r="W18" s="79">
        <f>'Operating Model'!W117*W4</f>
        <v>-400813.46375200601</v>
      </c>
      <c r="X18" s="79">
        <f>'Operating Model'!X117*X4</f>
        <v>0</v>
      </c>
      <c r="Y18" s="79">
        <f>'Operating Model'!Y117*Y4</f>
        <v>0</v>
      </c>
      <c r="Z18" s="79">
        <f>'Operating Model'!Z117*Z4</f>
        <v>0</v>
      </c>
      <c r="AA18" s="79">
        <f>'Operating Model'!AA117*AA4</f>
        <v>0</v>
      </c>
      <c r="AB18" s="79">
        <f>'Operating Model'!AB117*AB4</f>
        <v>0</v>
      </c>
      <c r="AC18" s="79">
        <f>'Operating Model'!AC117*AC4</f>
        <v>0</v>
      </c>
      <c r="AD18" s="79">
        <f>'Operating Model'!AD117*AD4</f>
        <v>0</v>
      </c>
      <c r="AE18" s="79">
        <f>'Operating Model'!AE117*AE4</f>
        <v>0</v>
      </c>
      <c r="AF18" s="79">
        <f>'Operating Model'!AF117*AF4</f>
        <v>0</v>
      </c>
      <c r="AG18" s="79">
        <f>'Operating Model'!AG117*AG4</f>
        <v>0</v>
      </c>
      <c r="AH18" s="79">
        <f>'Operating Model'!AH117*AH4</f>
        <v>0</v>
      </c>
    </row>
    <row r="19" spans="3:34" x14ac:dyDescent="0.25">
      <c r="C19" t="s">
        <v>1669</v>
      </c>
      <c r="I19" s="79">
        <f>SUM('Operating Model'!I106:I114)*DCF!I4</f>
        <v>0</v>
      </c>
      <c r="J19" s="79">
        <f>SUM('Operating Model'!J106:J114)*DCF!J4</f>
        <v>0</v>
      </c>
      <c r="K19" s="79">
        <f>SUM('Operating Model'!K106:K114)*DCF!K4</f>
        <v>0</v>
      </c>
      <c r="L19" s="79">
        <f>SUM('Operating Model'!L106:L114)*DCF!L4</f>
        <v>0</v>
      </c>
      <c r="M19" s="79">
        <f>SUM('Operating Model'!M106:M114)*DCF!M4</f>
        <v>0</v>
      </c>
      <c r="N19" s="79">
        <f>SUM('Operating Model'!N106:N114)*DCF!N4</f>
        <v>-37246.635719991828</v>
      </c>
      <c r="O19" s="79">
        <f>SUM('Operating Model'!O106:O114)*DCF!O4</f>
        <v>-16537.375563333961</v>
      </c>
      <c r="P19" s="79">
        <f>SUM('Operating Model'!P106:P114)*DCF!P4</f>
        <v>-16384.467073464271</v>
      </c>
      <c r="Q19" s="79">
        <f>SUM('Operating Model'!Q106:Q114)*DCF!Q4</f>
        <v>-16200.941258901017</v>
      </c>
      <c r="R19" s="79">
        <f>SUM('Operating Model'!R106:R114)*DCF!R4</f>
        <v>-15985.81012868369</v>
      </c>
      <c r="S19" s="79">
        <f>SUM('Operating Model'!S106:S114)*DCF!S4</f>
        <v>-15738.064259169536</v>
      </c>
      <c r="T19" s="79">
        <f>SUM('Operating Model'!T106:T114)*DCF!T4</f>
        <v>-15456.672249545954</v>
      </c>
      <c r="U19" s="79">
        <f>SUM('Operating Model'!U106:U114)*DCF!U4</f>
        <v>-15140.580147621658</v>
      </c>
      <c r="V19" s="79">
        <f>SUM('Operating Model'!V106:V114)*DCF!V4</f>
        <v>-14788.710843682376</v>
      </c>
      <c r="W19" s="79">
        <f>SUM('Operating Model'!W106:W114)*DCF!W4</f>
        <v>-14399.963429954281</v>
      </c>
      <c r="X19" s="79">
        <f>SUM('Operating Model'!X106:X114)*DCF!X4</f>
        <v>0</v>
      </c>
      <c r="Y19" s="79">
        <f>SUM('Operating Model'!Y106:Y114)*DCF!Y4</f>
        <v>0</v>
      </c>
      <c r="Z19" s="79">
        <f>SUM('Operating Model'!Z106:Z114)*DCF!Z4</f>
        <v>0</v>
      </c>
      <c r="AA19" s="79">
        <f>SUM('Operating Model'!AA106:AA114)*DCF!AA4</f>
        <v>0</v>
      </c>
      <c r="AB19" s="79">
        <f>SUM('Operating Model'!AB106:AB114)*DCF!AB4</f>
        <v>0</v>
      </c>
      <c r="AC19" s="79">
        <f>SUM('Operating Model'!AC106:AC114)*DCF!AC4</f>
        <v>0</v>
      </c>
      <c r="AD19" s="79">
        <f>SUM('Operating Model'!AD106:AD114)*DCF!AD4</f>
        <v>0</v>
      </c>
      <c r="AE19" s="79">
        <f>SUM('Operating Model'!AE106:AE114)*DCF!AE4</f>
        <v>0</v>
      </c>
      <c r="AF19" s="79">
        <f>SUM('Operating Model'!AF106:AF114)*DCF!AF4</f>
        <v>0</v>
      </c>
      <c r="AG19" s="79">
        <f>SUM('Operating Model'!AG106:AG114)*DCF!AG4</f>
        <v>0</v>
      </c>
      <c r="AH19" s="79">
        <f>SUM('Operating Model'!AH106:AH114)*DCF!AH4</f>
        <v>0</v>
      </c>
    </row>
    <row r="20" spans="3:34" s="27" customFormat="1" x14ac:dyDescent="0.25">
      <c r="C20" s="27" t="s">
        <v>1671</v>
      </c>
      <c r="I20" s="21">
        <f>SUM(I16:I19)</f>
        <v>0</v>
      </c>
      <c r="J20" s="21">
        <f t="shared" ref="J20:AH20" si="4">SUM(J16:J19)</f>
        <v>0</v>
      </c>
      <c r="K20" s="21">
        <f t="shared" si="4"/>
        <v>0</v>
      </c>
      <c r="L20" s="21">
        <f t="shared" si="4"/>
        <v>0</v>
      </c>
      <c r="M20" s="21">
        <f t="shared" si="4"/>
        <v>0</v>
      </c>
      <c r="N20" s="21">
        <f t="shared" si="4"/>
        <v>1046167.5838484283</v>
      </c>
      <c r="O20" s="21">
        <f t="shared" si="4"/>
        <v>1144314.7553761906</v>
      </c>
      <c r="P20" s="21">
        <f t="shared" si="4"/>
        <v>1220218.2129811964</v>
      </c>
      <c r="Q20" s="21">
        <f t="shared" si="4"/>
        <v>1294249.5153849041</v>
      </c>
      <c r="R20" s="21">
        <f>SUM(R16:R19)</f>
        <v>1366186.0773760269</v>
      </c>
      <c r="S20" s="21">
        <f t="shared" si="4"/>
        <v>1435796.9002783382</v>
      </c>
      <c r="T20" s="21">
        <f t="shared" si="4"/>
        <v>1502842.2895749228</v>
      </c>
      <c r="U20" s="21">
        <f t="shared" si="4"/>
        <v>1567073.5610567541</v>
      </c>
      <c r="V20" s="21">
        <f t="shared" si="4"/>
        <v>1628232.7349167294</v>
      </c>
      <c r="W20" s="21">
        <f t="shared" si="4"/>
        <v>1709850.5165883352</v>
      </c>
      <c r="X20" s="21">
        <f t="shared" si="4"/>
        <v>0</v>
      </c>
      <c r="Y20" s="21">
        <f t="shared" si="4"/>
        <v>0</v>
      </c>
      <c r="Z20" s="21">
        <f t="shared" si="4"/>
        <v>0</v>
      </c>
      <c r="AA20" s="21">
        <f t="shared" si="4"/>
        <v>0</v>
      </c>
      <c r="AB20" s="21">
        <f t="shared" si="4"/>
        <v>0</v>
      </c>
      <c r="AC20" s="21">
        <f t="shared" si="4"/>
        <v>0</v>
      </c>
      <c r="AD20" s="21">
        <f t="shared" si="4"/>
        <v>0</v>
      </c>
      <c r="AE20" s="21">
        <f t="shared" si="4"/>
        <v>0</v>
      </c>
      <c r="AF20" s="21">
        <f t="shared" si="4"/>
        <v>0</v>
      </c>
      <c r="AG20" s="21">
        <f t="shared" si="4"/>
        <v>0</v>
      </c>
      <c r="AH20" s="21">
        <f t="shared" si="4"/>
        <v>0</v>
      </c>
    </row>
    <row r="21" spans="3:34" s="104" customFormat="1" x14ac:dyDescent="0.25">
      <c r="D21" s="104" t="s">
        <v>1805</v>
      </c>
      <c r="J21" s="111">
        <f>IFERROR(J20/I20-1,0)*J4</f>
        <v>0</v>
      </c>
      <c r="K21" s="111">
        <f t="shared" ref="K21:AH21" si="5">IFERROR(K20/J20-1,0)*K4</f>
        <v>0</v>
      </c>
      <c r="L21" s="111">
        <f t="shared" si="5"/>
        <v>0</v>
      </c>
      <c r="M21" s="111">
        <f t="shared" si="5"/>
        <v>0</v>
      </c>
      <c r="N21" s="111">
        <f t="shared" si="5"/>
        <v>0</v>
      </c>
      <c r="O21" s="111">
        <f t="shared" si="5"/>
        <v>9.3815917299519436E-2</v>
      </c>
      <c r="P21" s="111">
        <f t="shared" si="5"/>
        <v>6.6330926214485997E-2</v>
      </c>
      <c r="Q21" s="111">
        <f t="shared" si="5"/>
        <v>6.0670543691391909E-2</v>
      </c>
      <c r="R21" s="111">
        <f t="shared" si="5"/>
        <v>5.5581679680775542E-2</v>
      </c>
      <c r="S21" s="111">
        <f t="shared" si="5"/>
        <v>5.0952666005797509E-2</v>
      </c>
      <c r="T21" s="111">
        <f t="shared" si="5"/>
        <v>4.6695594121694661E-2</v>
      </c>
      <c r="U21" s="111">
        <f t="shared" si="5"/>
        <v>4.2739861612490992E-2</v>
      </c>
      <c r="V21" s="111">
        <f t="shared" si="5"/>
        <v>3.9027634298630209E-2</v>
      </c>
      <c r="W21" s="111">
        <f t="shared" si="5"/>
        <v>5.0126606547914676E-2</v>
      </c>
      <c r="X21" s="111">
        <f t="shared" si="5"/>
        <v>0</v>
      </c>
      <c r="Y21" s="111">
        <f t="shared" si="5"/>
        <v>0</v>
      </c>
      <c r="Z21" s="111">
        <f t="shared" si="5"/>
        <v>0</v>
      </c>
      <c r="AA21" s="111">
        <f t="shared" si="5"/>
        <v>0</v>
      </c>
      <c r="AB21" s="111">
        <f t="shared" si="5"/>
        <v>0</v>
      </c>
      <c r="AC21" s="111">
        <f t="shared" si="5"/>
        <v>0</v>
      </c>
      <c r="AD21" s="111">
        <f t="shared" si="5"/>
        <v>0</v>
      </c>
      <c r="AE21" s="111">
        <f t="shared" si="5"/>
        <v>0</v>
      </c>
      <c r="AF21" s="111">
        <f t="shared" si="5"/>
        <v>0</v>
      </c>
      <c r="AG21" s="111">
        <f t="shared" si="5"/>
        <v>0</v>
      </c>
      <c r="AH21" s="111">
        <f t="shared" si="5"/>
        <v>0</v>
      </c>
    </row>
    <row r="22" spans="3:34" x14ac:dyDescent="0.25">
      <c r="C22" t="s">
        <v>1672</v>
      </c>
      <c r="I22" s="21">
        <f t="shared" ref="I22:AH22" si="6">(1/(1+$G$8)^I6)*I4</f>
        <v>0</v>
      </c>
      <c r="J22" s="21">
        <f t="shared" si="6"/>
        <v>0</v>
      </c>
      <c r="K22" s="21">
        <f t="shared" si="6"/>
        <v>0</v>
      </c>
      <c r="L22" s="21">
        <f t="shared" si="6"/>
        <v>0</v>
      </c>
      <c r="M22" s="21">
        <f t="shared" si="6"/>
        <v>0</v>
      </c>
      <c r="N22" s="21">
        <f t="shared" si="6"/>
        <v>0.96295249028823349</v>
      </c>
      <c r="O22" s="21">
        <f t="shared" si="6"/>
        <v>0.89292417641919097</v>
      </c>
      <c r="P22" s="21">
        <f t="shared" si="6"/>
        <v>0.82798849670686914</v>
      </c>
      <c r="Q22" s="21">
        <f t="shared" si="6"/>
        <v>0.7677751020564334</v>
      </c>
      <c r="R22" s="21">
        <f t="shared" si="6"/>
        <v>0.71194057608563432</v>
      </c>
      <c r="S22" s="21">
        <f t="shared" si="6"/>
        <v>0.66016647651057769</v>
      </c>
      <c r="T22" s="21">
        <f t="shared" si="6"/>
        <v>0.61215751896682102</v>
      </c>
      <c r="U22" s="21">
        <f t="shared" si="6"/>
        <v>0.56763989290754224</v>
      </c>
      <c r="V22" s="21">
        <f t="shared" si="6"/>
        <v>0.52635969997380705</v>
      </c>
      <c r="W22" s="21">
        <f t="shared" si="6"/>
        <v>0.48808150593045635</v>
      </c>
      <c r="X22" s="21">
        <f t="shared" si="6"/>
        <v>0</v>
      </c>
      <c r="Y22" s="21">
        <f t="shared" si="6"/>
        <v>0</v>
      </c>
      <c r="Z22" s="21">
        <f t="shared" si="6"/>
        <v>0</v>
      </c>
      <c r="AA22" s="21">
        <f t="shared" si="6"/>
        <v>0</v>
      </c>
      <c r="AB22" s="21">
        <f t="shared" si="6"/>
        <v>0</v>
      </c>
      <c r="AC22" s="21">
        <f t="shared" si="6"/>
        <v>0</v>
      </c>
      <c r="AD22" s="21">
        <f t="shared" si="6"/>
        <v>0</v>
      </c>
      <c r="AE22" s="21">
        <f t="shared" si="6"/>
        <v>0</v>
      </c>
      <c r="AF22" s="21">
        <f t="shared" si="6"/>
        <v>0</v>
      </c>
      <c r="AG22" s="21">
        <f t="shared" si="6"/>
        <v>0</v>
      </c>
      <c r="AH22" s="21">
        <f t="shared" si="6"/>
        <v>0</v>
      </c>
    </row>
    <row r="23" spans="3:34" s="27" customFormat="1" x14ac:dyDescent="0.25">
      <c r="C23" s="27" t="s">
        <v>1675</v>
      </c>
      <c r="I23" s="21">
        <f t="shared" ref="I23:AH23" si="7">I20*I22</f>
        <v>0</v>
      </c>
      <c r="J23" s="21">
        <f t="shared" si="7"/>
        <v>0</v>
      </c>
      <c r="K23" s="21">
        <f t="shared" si="7"/>
        <v>0</v>
      </c>
      <c r="L23" s="21">
        <f t="shared" si="7"/>
        <v>0</v>
      </c>
      <c r="M23" s="21">
        <f t="shared" si="7"/>
        <v>0</v>
      </c>
      <c r="N23" s="21">
        <f t="shared" si="7"/>
        <v>1007409.6801256684</v>
      </c>
      <c r="O23" s="21">
        <f t="shared" si="7"/>
        <v>1021786.310508613</v>
      </c>
      <c r="P23" s="21">
        <f t="shared" si="7"/>
        <v>1010326.6438206431</v>
      </c>
      <c r="Q23" s="21">
        <f t="shared" si="7"/>
        <v>993692.55376113427</v>
      </c>
      <c r="R23" s="21">
        <f t="shared" si="7"/>
        <v>972643.30296726152</v>
      </c>
      <c r="S23" s="21">
        <f t="shared" si="7"/>
        <v>947864.98064155981</v>
      </c>
      <c r="T23" s="21">
        <f t="shared" si="7"/>
        <v>919976.20738460147</v>
      </c>
      <c r="U23" s="21">
        <f t="shared" si="7"/>
        <v>889533.46837649681</v>
      </c>
      <c r="V23" s="21">
        <f t="shared" si="7"/>
        <v>857036.09383830102</v>
      </c>
      <c r="W23" s="21">
        <f t="shared" si="7"/>
        <v>834546.41505240335</v>
      </c>
      <c r="X23" s="21">
        <f t="shared" si="7"/>
        <v>0</v>
      </c>
      <c r="Y23" s="21">
        <f t="shared" si="7"/>
        <v>0</v>
      </c>
      <c r="Z23" s="21">
        <f t="shared" si="7"/>
        <v>0</v>
      </c>
      <c r="AA23" s="21">
        <f t="shared" si="7"/>
        <v>0</v>
      </c>
      <c r="AB23" s="21">
        <f t="shared" si="7"/>
        <v>0</v>
      </c>
      <c r="AC23" s="21">
        <f t="shared" si="7"/>
        <v>0</v>
      </c>
      <c r="AD23" s="21">
        <f t="shared" si="7"/>
        <v>0</v>
      </c>
      <c r="AE23" s="21">
        <f t="shared" si="7"/>
        <v>0</v>
      </c>
      <c r="AF23" s="21">
        <f t="shared" si="7"/>
        <v>0</v>
      </c>
      <c r="AG23" s="21">
        <f t="shared" si="7"/>
        <v>0</v>
      </c>
      <c r="AH23" s="21">
        <f t="shared" si="7"/>
        <v>0</v>
      </c>
    </row>
    <row r="24" spans="3:34" s="27" customFormat="1" x14ac:dyDescent="0.25"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3:34" s="27" customFormat="1" x14ac:dyDescent="0.25">
      <c r="D25" s="108" t="s">
        <v>1806</v>
      </c>
      <c r="E25" s="108"/>
      <c r="F25" s="108"/>
      <c r="G25" s="108"/>
      <c r="H25" s="108"/>
      <c r="I25" s="108"/>
      <c r="J25" s="110">
        <f>IFERROR(J16/I16-1,0)*J4</f>
        <v>0</v>
      </c>
      <c r="K25" s="110">
        <f t="shared" ref="K25:AH25" si="8">IFERROR(K16/J16-1,0)*K4</f>
        <v>0</v>
      </c>
      <c r="L25" s="110">
        <f t="shared" si="8"/>
        <v>0</v>
      </c>
      <c r="M25" s="110">
        <f t="shared" si="8"/>
        <v>0</v>
      </c>
      <c r="N25" s="110">
        <f t="shared" si="8"/>
        <v>0</v>
      </c>
      <c r="O25" s="110">
        <f t="shared" si="8"/>
        <v>3.1012352229792706E-2</v>
      </c>
      <c r="P25" s="110">
        <f t="shared" si="8"/>
        <v>2.8675790111819532E-2</v>
      </c>
      <c r="Q25" s="110">
        <f t="shared" si="8"/>
        <v>2.6377215627047201E-2</v>
      </c>
      <c r="R25" s="110">
        <f t="shared" si="8"/>
        <v>2.4102492005226406E-2</v>
      </c>
      <c r="S25" s="110">
        <f t="shared" si="8"/>
        <v>2.1837909169689862E-2</v>
      </c>
      <c r="T25" s="110">
        <f t="shared" si="8"/>
        <v>1.9569894757635042E-2</v>
      </c>
      <c r="U25" s="110">
        <f t="shared" si="8"/>
        <v>1.7284731205375214E-2</v>
      </c>
      <c r="V25" s="110">
        <f t="shared" si="8"/>
        <v>1.4968266355487536E-2</v>
      </c>
      <c r="W25" s="110">
        <f t="shared" si="8"/>
        <v>1.2605604554344119E-2</v>
      </c>
      <c r="X25" s="110">
        <f t="shared" si="8"/>
        <v>0</v>
      </c>
      <c r="Y25" s="110">
        <f t="shared" si="8"/>
        <v>0</v>
      </c>
      <c r="Z25" s="110">
        <f t="shared" si="8"/>
        <v>0</v>
      </c>
      <c r="AA25" s="110">
        <f t="shared" si="8"/>
        <v>0</v>
      </c>
      <c r="AB25" s="110">
        <f t="shared" si="8"/>
        <v>0</v>
      </c>
      <c r="AC25" s="110">
        <f t="shared" si="8"/>
        <v>0</v>
      </c>
      <c r="AD25" s="110">
        <f t="shared" si="8"/>
        <v>0</v>
      </c>
      <c r="AE25" s="110">
        <f t="shared" si="8"/>
        <v>0</v>
      </c>
      <c r="AF25" s="110">
        <f t="shared" si="8"/>
        <v>0</v>
      </c>
      <c r="AG25" s="110">
        <f t="shared" si="8"/>
        <v>0</v>
      </c>
      <c r="AH25" s="110">
        <f t="shared" si="8"/>
        <v>0</v>
      </c>
    </row>
    <row r="26" spans="3:34" s="27" customFormat="1" x14ac:dyDescent="0.25">
      <c r="D26" s="108" t="s">
        <v>1807</v>
      </c>
      <c r="E26" s="108"/>
      <c r="F26" s="108"/>
      <c r="G26" s="108"/>
      <c r="H26" s="108"/>
      <c r="I26" s="108"/>
      <c r="J26" s="110">
        <f>IFERROR(J18/I18-1,0)*J4</f>
        <v>0</v>
      </c>
      <c r="K26" s="110">
        <f t="shared" ref="K26:AH26" si="9">IFERROR(K18/J18-1,0)*K4</f>
        <v>0</v>
      </c>
      <c r="L26" s="110">
        <f t="shared" si="9"/>
        <v>0</v>
      </c>
      <c r="M26" s="110">
        <f t="shared" si="9"/>
        <v>0</v>
      </c>
      <c r="N26" s="110">
        <f t="shared" si="9"/>
        <v>0</v>
      </c>
      <c r="O26" s="110">
        <f t="shared" si="9"/>
        <v>-1.6233766233766267E-2</v>
      </c>
      <c r="P26" s="110">
        <f t="shared" si="9"/>
        <v>-1.7969230769230626E-2</v>
      </c>
      <c r="Q26" s="110">
        <f t="shared" si="9"/>
        <v>-1.9831223628692274E-2</v>
      </c>
      <c r="R26" s="110">
        <f t="shared" si="9"/>
        <v>-2.1836956521738893E-2</v>
      </c>
      <c r="S26" s="110">
        <f t="shared" si="9"/>
        <v>-2.4006734006734143E-2</v>
      </c>
      <c r="T26" s="110">
        <f t="shared" si="9"/>
        <v>-2.6364692218350694E-2</v>
      </c>
      <c r="U26" s="110">
        <f t="shared" si="9"/>
        <v>-2.8939759036144541E-2</v>
      </c>
      <c r="V26" s="110">
        <f t="shared" si="9"/>
        <v>-3.1766917293233332E-2</v>
      </c>
      <c r="W26" s="110">
        <f t="shared" si="9"/>
        <v>-9.166013071895418E-2</v>
      </c>
      <c r="X26" s="110">
        <f t="shared" si="9"/>
        <v>0</v>
      </c>
      <c r="Y26" s="110">
        <f t="shared" si="9"/>
        <v>0</v>
      </c>
      <c r="Z26" s="110">
        <f t="shared" si="9"/>
        <v>0</v>
      </c>
      <c r="AA26" s="110">
        <f t="shared" si="9"/>
        <v>0</v>
      </c>
      <c r="AB26" s="110">
        <f t="shared" si="9"/>
        <v>0</v>
      </c>
      <c r="AC26" s="110">
        <f t="shared" si="9"/>
        <v>0</v>
      </c>
      <c r="AD26" s="110">
        <f t="shared" si="9"/>
        <v>0</v>
      </c>
      <c r="AE26" s="110">
        <f t="shared" si="9"/>
        <v>0</v>
      </c>
      <c r="AF26" s="110">
        <f t="shared" si="9"/>
        <v>0</v>
      </c>
      <c r="AG26" s="110">
        <f t="shared" si="9"/>
        <v>0</v>
      </c>
      <c r="AH26" s="110">
        <f t="shared" si="9"/>
        <v>0</v>
      </c>
    </row>
    <row r="27" spans="3:34" s="27" customFormat="1" x14ac:dyDescent="0.25">
      <c r="D27" s="108" t="s">
        <v>1815</v>
      </c>
      <c r="E27" s="108"/>
      <c r="F27" s="108"/>
      <c r="G27" s="108"/>
      <c r="H27" s="108"/>
      <c r="I27" s="32">
        <f>('Operating Model'!I188+'Operating Model'!I181+'Operating Model'!I177+'Operating Model'!I178-'Operating Model'!I154-'Operating Model'!I155)*I4</f>
        <v>0</v>
      </c>
      <c r="J27" s="32">
        <f>('Operating Model'!J188+'Operating Model'!J181+'Operating Model'!J177+'Operating Model'!J178-'Operating Model'!J154-'Operating Model'!J155)*J4</f>
        <v>0</v>
      </c>
      <c r="K27" s="32">
        <f>('Operating Model'!K188+'Operating Model'!K181+'Operating Model'!K177+'Operating Model'!K178-'Operating Model'!K154-'Operating Model'!K155)*K4</f>
        <v>0</v>
      </c>
      <c r="L27" s="32">
        <f>('Operating Model'!L188+'Operating Model'!L181+'Operating Model'!L177+'Operating Model'!L178-'Operating Model'!L154-'Operating Model'!L155)*L4</f>
        <v>0</v>
      </c>
      <c r="M27" s="32">
        <f>('Operating Model'!M188+'Operating Model'!M181+'Operating Model'!M177+'Operating Model'!M178-'Operating Model'!M154-'Operating Model'!M155)*M4</f>
        <v>0</v>
      </c>
      <c r="N27" s="32">
        <f>('Operating Model'!N188+'Operating Model'!N181+'Operating Model'!N177+'Operating Model'!N178-'Operating Model'!N154-'Operating Model'!N155)*N4</f>
        <v>4995032.9760199916</v>
      </c>
      <c r="O27" s="32">
        <f>('Operating Model'!O188+'Operating Model'!O181+'Operating Model'!O177+'Operating Model'!O178-'Operating Model'!O154-'Operating Model'!O155)*O4</f>
        <v>5265449.2033083243</v>
      </c>
      <c r="P27" s="32">
        <f>('Operating Model'!P188+'Operating Model'!P181+'Operating Model'!P177+'Operating Model'!P178-'Operating Model'!P154-'Operating Model'!P155)*P4</f>
        <v>5500530.5017152289</v>
      </c>
      <c r="Q27" s="32">
        <f>('Operating Model'!Q188+'Operating Model'!Q181+'Operating Model'!Q177+'Operating Model'!Q178-'Operating Model'!Q154-'Operating Model'!Q155)*Q4</f>
        <v>5699967.2467322461</v>
      </c>
      <c r="R27" s="32">
        <f>('Operating Model'!R188+'Operating Model'!R181+'Operating Model'!R177+'Operating Model'!R178-'Operating Model'!R154-'Operating Model'!R155)*R4</f>
        <v>5863468.9909077939</v>
      </c>
      <c r="S27" s="32">
        <f>('Operating Model'!S188+'Operating Model'!S181+'Operating Model'!S177+'Operating Model'!S178-'Operating Model'!S154-'Operating Model'!S155)*S4</f>
        <v>5990765.0958860554</v>
      </c>
      <c r="T27" s="32">
        <f>('Operating Model'!T188+'Operating Model'!T181+'Operating Model'!T177+'Operating Model'!T178-'Operating Model'!T154-'Operating Model'!T155)*T4</f>
        <v>6081605.3771769982</v>
      </c>
      <c r="U27" s="32">
        <f>('Operating Model'!U188+'Operating Model'!U181+'Operating Model'!U177+'Operating Model'!U178-'Operating Model'!U154-'Operating Model'!U155)*U4</f>
        <v>6135760.7618502192</v>
      </c>
      <c r="V27" s="32">
        <f>('Operating Model'!V188+'Operating Model'!V181+'Operating Model'!V177+'Operating Model'!V178-'Operating Model'!V154-'Operating Model'!V155)*V4</f>
        <v>6153023.9593463745</v>
      </c>
      <c r="W27" s="32">
        <f>('Operating Model'!W188+'Operating Model'!W181+'Operating Model'!W177+'Operating Model'!W178-'Operating Model'!W154-'Operating Model'!W155)*W4</f>
        <v>6109411.8461907059</v>
      </c>
      <c r="X27" s="32">
        <f>('Operating Model'!X188+'Operating Model'!X181+'Operating Model'!X177+'Operating Model'!X178-'Operating Model'!X154-'Operating Model'!X155)*X4</f>
        <v>0</v>
      </c>
      <c r="Y27" s="32">
        <f>('Operating Model'!Y188+'Operating Model'!Y181+'Operating Model'!Y177+'Operating Model'!Y178-'Operating Model'!Y154-'Operating Model'!Y155)*Y4</f>
        <v>0</v>
      </c>
      <c r="Z27" s="32">
        <f>('Operating Model'!Z188+'Operating Model'!Z181+'Operating Model'!Z177+'Operating Model'!Z178-'Operating Model'!Z154-'Operating Model'!Z155)*Z4</f>
        <v>0</v>
      </c>
      <c r="AA27" s="32">
        <f>('Operating Model'!AA188+'Operating Model'!AA181+'Operating Model'!AA177+'Operating Model'!AA178-'Operating Model'!AA154-'Operating Model'!AA155)*AA4</f>
        <v>0</v>
      </c>
      <c r="AB27" s="32">
        <f>('Operating Model'!AB188+'Operating Model'!AB181+'Operating Model'!AB177+'Operating Model'!AB178-'Operating Model'!AB154-'Operating Model'!AB155)*AB4</f>
        <v>0</v>
      </c>
      <c r="AC27" s="32">
        <f>('Operating Model'!AC188+'Operating Model'!AC181+'Operating Model'!AC177+'Operating Model'!AC178-'Operating Model'!AC154-'Operating Model'!AC155)*AC4</f>
        <v>0</v>
      </c>
      <c r="AD27" s="32">
        <f>('Operating Model'!AD188+'Operating Model'!AD181+'Operating Model'!AD177+'Operating Model'!AD178-'Operating Model'!AD154-'Operating Model'!AD155)*AD4</f>
        <v>0</v>
      </c>
      <c r="AE27" s="32">
        <f>('Operating Model'!AE188+'Operating Model'!AE181+'Operating Model'!AE177+'Operating Model'!AE178-'Operating Model'!AE154-'Operating Model'!AE155)*AE4</f>
        <v>0</v>
      </c>
      <c r="AF27" s="32">
        <f>('Operating Model'!AF188+'Operating Model'!AF181+'Operating Model'!AF177+'Operating Model'!AF178-'Operating Model'!AF154-'Operating Model'!AF155)*AF4</f>
        <v>0</v>
      </c>
      <c r="AG27" s="32">
        <f>('Operating Model'!AG188+'Operating Model'!AG181+'Operating Model'!AG177+'Operating Model'!AG178-'Operating Model'!AG154-'Operating Model'!AG155)*AG4</f>
        <v>0</v>
      </c>
      <c r="AH27" s="32">
        <f>('Operating Model'!AH188+'Operating Model'!AH181+'Operating Model'!AH177+'Operating Model'!AH178-'Operating Model'!AH154-'Operating Model'!AH155)*AH4</f>
        <v>0</v>
      </c>
    </row>
    <row r="28" spans="3:34" s="27" customFormat="1" x14ac:dyDescent="0.25">
      <c r="D28" s="108" t="s">
        <v>1814</v>
      </c>
      <c r="E28" s="104"/>
      <c r="F28" s="104"/>
      <c r="G28" s="104"/>
      <c r="H28" s="104"/>
      <c r="I28" s="109">
        <f>IFERROR(I16/I27,0)</f>
        <v>0</v>
      </c>
      <c r="J28" s="109">
        <f t="shared" ref="J28:AH28" si="10">IFERROR(J16/J27,0)</f>
        <v>0</v>
      </c>
      <c r="K28" s="109">
        <f t="shared" si="10"/>
        <v>0</v>
      </c>
      <c r="L28" s="109">
        <f t="shared" si="10"/>
        <v>0</v>
      </c>
      <c r="M28" s="109">
        <f t="shared" si="10"/>
        <v>0</v>
      </c>
      <c r="N28" s="109">
        <f>IFERROR(N16/N27,0)</f>
        <v>0.27470820842543486</v>
      </c>
      <c r="O28" s="109">
        <f t="shared" si="10"/>
        <v>0.26868191640242917</v>
      </c>
      <c r="P28" s="109">
        <f t="shared" si="10"/>
        <v>0.26457439167627467</v>
      </c>
      <c r="Q28" s="109">
        <f>IFERROR(Q16/Q27,0)</f>
        <v>0.26205172692145584</v>
      </c>
      <c r="R28" s="109">
        <f t="shared" si="10"/>
        <v>0.26088443955678625</v>
      </c>
      <c r="S28" s="109">
        <f t="shared" si="10"/>
        <v>0.26091709159653037</v>
      </c>
      <c r="T28" s="109">
        <f t="shared" si="10"/>
        <v>0.26204965169996491</v>
      </c>
      <c r="U28" s="109">
        <f t="shared" si="10"/>
        <v>0.26422623186519056</v>
      </c>
      <c r="V28" s="109">
        <f t="shared" si="10"/>
        <v>0.26742881927404116</v>
      </c>
      <c r="W28" s="109">
        <f t="shared" si="10"/>
        <v>0.27273302985320685</v>
      </c>
      <c r="X28" s="109">
        <f t="shared" si="10"/>
        <v>0</v>
      </c>
      <c r="Y28" s="109">
        <f t="shared" si="10"/>
        <v>0</v>
      </c>
      <c r="Z28" s="109">
        <f t="shared" si="10"/>
        <v>0</v>
      </c>
      <c r="AA28" s="109">
        <f t="shared" si="10"/>
        <v>0</v>
      </c>
      <c r="AB28" s="109">
        <f t="shared" si="10"/>
        <v>0</v>
      </c>
      <c r="AC28" s="109">
        <f t="shared" si="10"/>
        <v>0</v>
      </c>
      <c r="AD28" s="109">
        <f t="shared" si="10"/>
        <v>0</v>
      </c>
      <c r="AE28" s="109">
        <f t="shared" si="10"/>
        <v>0</v>
      </c>
      <c r="AF28" s="109">
        <f t="shared" si="10"/>
        <v>0</v>
      </c>
      <c r="AG28" s="109">
        <f t="shared" si="10"/>
        <v>0</v>
      </c>
      <c r="AH28" s="109">
        <f t="shared" si="10"/>
        <v>0</v>
      </c>
    </row>
    <row r="29" spans="3:34" s="27" customFormat="1" x14ac:dyDescent="0.25">
      <c r="D29" s="104"/>
      <c r="E29" s="104"/>
      <c r="F29" s="104"/>
      <c r="G29" s="104"/>
      <c r="H29" s="104"/>
      <c r="I29" s="104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</row>
    <row r="30" spans="3:34" s="27" customFormat="1" x14ac:dyDescent="0.25">
      <c r="D30" s="106" t="s">
        <v>1808</v>
      </c>
      <c r="E30" s="106"/>
      <c r="F30" s="106"/>
      <c r="G30" s="106">
        <f>(W16/N16)^(1/9)-1</f>
        <v>2.1808903618017128E-2</v>
      </c>
      <c r="H30" s="104"/>
      <c r="I30" s="104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</row>
    <row r="31" spans="3:34" s="27" customFormat="1" x14ac:dyDescent="0.25">
      <c r="D31" s="106" t="s">
        <v>1809</v>
      </c>
      <c r="E31" s="106"/>
      <c r="F31" s="106"/>
      <c r="G31" s="106">
        <f>(W18/N18)^(1/9)-1</f>
        <v>-3.1214982162377836E-2</v>
      </c>
      <c r="H31" s="104"/>
      <c r="I31" s="104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</row>
    <row r="32" spans="3:34" s="27" customFormat="1" x14ac:dyDescent="0.25">
      <c r="D32" s="106" t="s">
        <v>1813</v>
      </c>
      <c r="E32" s="106"/>
      <c r="F32" s="106"/>
      <c r="G32" s="106">
        <f>(W20/N20)^(1/9)-1</f>
        <v>5.6103107607801572E-2</v>
      </c>
      <c r="H32" s="104"/>
      <c r="I32" s="104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</row>
    <row r="34" spans="3:17" x14ac:dyDescent="0.25">
      <c r="C34" s="44" t="s">
        <v>1676</v>
      </c>
      <c r="G34" s="43">
        <f>W20*(1+G9)/(G8-G9)</f>
        <v>46277330.574779399</v>
      </c>
    </row>
    <row r="35" spans="3:17" x14ac:dyDescent="0.25">
      <c r="D35" t="s">
        <v>1677</v>
      </c>
      <c r="G35" s="43">
        <f>G34*W22</f>
        <v>22587109.19737988</v>
      </c>
      <c r="H35" s="29">
        <f>G35/$G$37</f>
        <v>0.70492360556988498</v>
      </c>
    </row>
    <row r="36" spans="3:17" x14ac:dyDescent="0.25">
      <c r="C36" s="44" t="s">
        <v>1678</v>
      </c>
      <c r="G36" s="19">
        <f>SUM(I23:AH23)</f>
        <v>9454815.6564766821</v>
      </c>
      <c r="H36" s="29">
        <f>G36/$G$37</f>
        <v>0.29507639443011491</v>
      </c>
    </row>
    <row r="37" spans="3:17" x14ac:dyDescent="0.25">
      <c r="C37" s="27" t="s">
        <v>1679</v>
      </c>
      <c r="D37" s="27"/>
      <c r="E37" s="27"/>
      <c r="F37" s="27"/>
      <c r="G37" s="21">
        <f>G35+G36</f>
        <v>32041924.853856564</v>
      </c>
      <c r="H37" s="31">
        <f>G37/$G$37</f>
        <v>1</v>
      </c>
    </row>
    <row r="38" spans="3:17" x14ac:dyDescent="0.25">
      <c r="C38" s="44" t="s">
        <v>325</v>
      </c>
      <c r="G38" s="80">
        <f>'Operating Model'!M154</f>
        <v>3354142</v>
      </c>
    </row>
    <row r="39" spans="3:17" x14ac:dyDescent="0.25">
      <c r="C39" s="44" t="str">
        <f>'Operating Model'!C155</f>
        <v>Investment in held to maturity securities</v>
      </c>
      <c r="G39" s="80">
        <f>'Operating Model'!M155</f>
        <v>845570</v>
      </c>
    </row>
    <row r="40" spans="3:17" x14ac:dyDescent="0.25">
      <c r="C40" s="44" t="s">
        <v>1792</v>
      </c>
      <c r="G40" s="80">
        <f>-'Operating Model'!M178-'Operating Model'!M177-'Operating Model'!M173</f>
        <v>-93116</v>
      </c>
    </row>
    <row r="41" spans="3:17" x14ac:dyDescent="0.25">
      <c r="C41" s="44" t="s">
        <v>1794</v>
      </c>
      <c r="G41" s="80">
        <f>-'Operating Model'!M181</f>
        <v>-17181</v>
      </c>
    </row>
    <row r="42" spans="3:17" x14ac:dyDescent="0.25">
      <c r="C42" s="27" t="s">
        <v>1680</v>
      </c>
      <c r="D42" s="27"/>
      <c r="E42" s="27"/>
      <c r="F42" s="27"/>
      <c r="G42" s="21">
        <f>SUM(G37:G41)</f>
        <v>36131339.853856564</v>
      </c>
    </row>
    <row r="43" spans="3:17" x14ac:dyDescent="0.25">
      <c r="C43" s="44" t="s">
        <v>1681</v>
      </c>
      <c r="G43" s="80">
        <f>WACC!F5</f>
        <v>925811.48199999996</v>
      </c>
    </row>
    <row r="44" spans="3:17" x14ac:dyDescent="0.25">
      <c r="C44" s="27" t="s">
        <v>1682</v>
      </c>
      <c r="D44" s="27"/>
      <c r="E44" s="27"/>
      <c r="F44" s="27"/>
      <c r="G44" s="21">
        <f>G42/G43</f>
        <v>39.026670716810756</v>
      </c>
    </row>
    <row r="45" spans="3:17" x14ac:dyDescent="0.25">
      <c r="C45" s="44" t="s">
        <v>1748</v>
      </c>
      <c r="G45" s="82">
        <f>WACC!F4</f>
        <v>28.91</v>
      </c>
    </row>
    <row r="46" spans="3:17" x14ac:dyDescent="0.25">
      <c r="C46" s="27" t="s">
        <v>1747</v>
      </c>
      <c r="G46" s="59">
        <f>G44/G45-1</f>
        <v>0.34993672489833116</v>
      </c>
    </row>
    <row r="47" spans="3:17" x14ac:dyDescent="0.25">
      <c r="C47" s="27"/>
      <c r="G47" s="59"/>
    </row>
    <row r="48" spans="3:17" x14ac:dyDescent="0.25">
      <c r="G48" s="92" t="s">
        <v>1804</v>
      </c>
      <c r="H48" s="89"/>
      <c r="I48" s="92"/>
      <c r="J48" s="92"/>
      <c r="K48" s="92"/>
      <c r="L48" s="92"/>
      <c r="M48" s="92" t="s">
        <v>1673</v>
      </c>
      <c r="N48" s="92"/>
      <c r="O48" s="92"/>
      <c r="P48" s="92"/>
      <c r="Q48" s="92"/>
    </row>
    <row r="49" spans="7:17" x14ac:dyDescent="0.25">
      <c r="G49" s="90"/>
      <c r="H49" s="88">
        <f>G44</f>
        <v>39.026670716810756</v>
      </c>
      <c r="I49" s="93">
        <v>6.4561465907415405E-2</v>
      </c>
      <c r="J49" s="93">
        <f t="shared" ref="J49:Q49" si="11">I49+0.5%</f>
        <v>6.956146590741541E-2</v>
      </c>
      <c r="K49" s="93">
        <f t="shared" si="11"/>
        <v>7.4561465907415414E-2</v>
      </c>
      <c r="L49" s="93">
        <f t="shared" si="11"/>
        <v>7.9561465907415418E-2</v>
      </c>
      <c r="M49" s="93">
        <f t="shared" si="11"/>
        <v>8.4561465907415423E-2</v>
      </c>
      <c r="N49" s="93">
        <f t="shared" si="11"/>
        <v>8.9561465907415427E-2</v>
      </c>
      <c r="O49" s="93">
        <f t="shared" si="11"/>
        <v>9.4561465907415432E-2</v>
      </c>
      <c r="P49" s="93">
        <f t="shared" si="11"/>
        <v>9.9561465907415436E-2</v>
      </c>
      <c r="Q49" s="93">
        <f t="shared" si="11"/>
        <v>0.10456146590741544</v>
      </c>
    </row>
    <row r="50" spans="7:17" x14ac:dyDescent="0.25">
      <c r="G50" s="92"/>
      <c r="H50" s="93">
        <v>0.02</v>
      </c>
      <c r="I50" s="87">
        <f t="dataTable" ref="I50:Q56" dt2D="1" dtr="1" r1="G8" r2="G9"/>
        <v>38.625144036248294</v>
      </c>
      <c r="J50" s="87">
        <v>35.111163753369901</v>
      </c>
      <c r="K50" s="87">
        <v>32.244290193626888</v>
      </c>
      <c r="L50" s="87">
        <v>29.861445401396686</v>
      </c>
      <c r="M50" s="87">
        <v>27.850074650108791</v>
      </c>
      <c r="N50" s="87">
        <v>26.129988463627384</v>
      </c>
      <c r="O50" s="87">
        <v>24.642510558753205</v>
      </c>
      <c r="P50" s="87">
        <v>23.343717749843204</v>
      </c>
      <c r="Q50" s="87">
        <v>22.2000781514223</v>
      </c>
    </row>
    <row r="51" spans="7:17" x14ac:dyDescent="0.25">
      <c r="G51" s="92"/>
      <c r="H51" s="93">
        <f t="shared" ref="H51:H56" si="12">H50+0.5%</f>
        <v>2.5000000000000001E-2</v>
      </c>
      <c r="I51" s="87">
        <v>41.702816755053497</v>
      </c>
      <c r="J51" s="87">
        <v>37.471930705590992</v>
      </c>
      <c r="K51" s="87">
        <v>34.097436380668455</v>
      </c>
      <c r="L51" s="87">
        <v>31.343797919923315</v>
      </c>
      <c r="M51" s="87">
        <v>29.054573472114754</v>
      </c>
      <c r="N51" s="87">
        <v>27.121787603038285</v>
      </c>
      <c r="O51" s="87">
        <v>25.468512574482055</v>
      </c>
      <c r="P51" s="87">
        <v>24.038458099402593</v>
      </c>
      <c r="Q51" s="87">
        <v>22.789486463891119</v>
      </c>
    </row>
    <row r="52" spans="7:17" x14ac:dyDescent="0.25">
      <c r="G52" s="94" t="s">
        <v>1674</v>
      </c>
      <c r="H52" s="93">
        <f t="shared" si="12"/>
        <v>3.0000000000000002E-2</v>
      </c>
      <c r="I52" s="87">
        <v>45.670982003038418</v>
      </c>
      <c r="J52" s="87">
        <v>40.429431600317159</v>
      </c>
      <c r="K52" s="87">
        <v>36.366445499798438</v>
      </c>
      <c r="L52" s="87">
        <v>33.125244198367341</v>
      </c>
      <c r="M52" s="87">
        <v>30.47983227590894</v>
      </c>
      <c r="N52" s="87">
        <v>28.280103654734837</v>
      </c>
      <c r="O52" s="87">
        <v>26.422454996166586</v>
      </c>
      <c r="P52" s="87">
        <v>24.83307276019114</v>
      </c>
      <c r="Q52" s="87">
        <v>23.457944766230142</v>
      </c>
    </row>
    <row r="53" spans="7:17" x14ac:dyDescent="0.25">
      <c r="G53" s="92"/>
      <c r="H53" s="93">
        <f t="shared" si="12"/>
        <v>3.5000000000000003E-2</v>
      </c>
      <c r="I53" s="87">
        <v>50.981491118683003</v>
      </c>
      <c r="J53" s="87">
        <v>44.242654559219872</v>
      </c>
      <c r="K53" s="87">
        <v>39.208994822024053</v>
      </c>
      <c r="L53" s="87">
        <v>35.306463294461764</v>
      </c>
      <c r="M53" s="87">
        <v>32.192665060355083</v>
      </c>
      <c r="N53" s="87">
        <v>29.65071533163729</v>
      </c>
      <c r="O53" s="87">
        <v>27.536558422479075</v>
      </c>
      <c r="P53" s="87">
        <v>25.750766203287395</v>
      </c>
      <c r="Q53" s="87">
        <v>24.222499131758621</v>
      </c>
    </row>
    <row r="54" spans="7:17" x14ac:dyDescent="0.25">
      <c r="G54" s="92"/>
      <c r="H54" s="93">
        <f t="shared" si="12"/>
        <v>0.04</v>
      </c>
      <c r="I54" s="87">
        <v>58.454130595627092</v>
      </c>
      <c r="J54" s="87">
        <v>49.345807784383915</v>
      </c>
      <c r="K54" s="87">
        <v>42.874006168817814</v>
      </c>
      <c r="L54" s="87">
        <v>38.039031802430642</v>
      </c>
      <c r="M54" s="87">
        <v>34.289873167642909</v>
      </c>
      <c r="N54" s="87">
        <v>31.297874857116867</v>
      </c>
      <c r="O54" s="87">
        <v>28.854854204657322</v>
      </c>
      <c r="P54" s="87">
        <v>26.822534672764426</v>
      </c>
      <c r="Q54" s="87">
        <v>25.105476205752993</v>
      </c>
    </row>
    <row r="55" spans="7:17" x14ac:dyDescent="0.25">
      <c r="G55" s="92"/>
      <c r="H55" s="93">
        <f t="shared" si="12"/>
        <v>4.4999999999999998E-2</v>
      </c>
      <c r="I55" s="87">
        <v>69.746851610586859</v>
      </c>
      <c r="J55" s="87">
        <v>56.526668115630471</v>
      </c>
      <c r="K55" s="87">
        <v>47.778811021885033</v>
      </c>
      <c r="L55" s="87">
        <v>41.562240532457508</v>
      </c>
      <c r="M55" s="87">
        <v>36.917195126676233</v>
      </c>
      <c r="N55" s="87">
        <v>33.314672026228251</v>
      </c>
      <c r="O55" s="87">
        <v>30.439142075253812</v>
      </c>
      <c r="P55" s="87">
        <v>28.0907363669821</v>
      </c>
      <c r="Q55" s="87">
        <v>26.136699643489806</v>
      </c>
    </row>
    <row r="56" spans="7:17" x14ac:dyDescent="0.25">
      <c r="G56" s="90"/>
      <c r="H56" s="91">
        <f t="shared" si="12"/>
        <v>4.9999999999999996E-2</v>
      </c>
      <c r="I56" s="87">
        <v>88.794781535666687</v>
      </c>
      <c r="J56" s="87">
        <v>67.378449821192021</v>
      </c>
      <c r="K56" s="87">
        <v>54.680567063271347</v>
      </c>
      <c r="L56" s="87">
        <v>46.277274032291579</v>
      </c>
      <c r="M56" s="87">
        <v>40.304705315592948</v>
      </c>
      <c r="N56" s="87">
        <v>35.84125747614582</v>
      </c>
      <c r="O56" s="87">
        <v>32.378958615820025</v>
      </c>
      <c r="P56" s="87">
        <v>29.614822682648779</v>
      </c>
      <c r="Q56" s="87">
        <v>27.356925231477987</v>
      </c>
    </row>
    <row r="59" spans="7:17" x14ac:dyDescent="0.25">
      <c r="G59" s="92" t="s">
        <v>1804</v>
      </c>
      <c r="H59" s="89"/>
      <c r="I59" s="92"/>
      <c r="J59" s="92"/>
      <c r="K59" s="92"/>
      <c r="L59" s="92"/>
      <c r="M59" s="92" t="s">
        <v>1673</v>
      </c>
      <c r="N59" s="92"/>
      <c r="O59" s="92"/>
      <c r="P59" s="92"/>
      <c r="Q59" s="92"/>
    </row>
    <row r="60" spans="7:17" x14ac:dyDescent="0.25">
      <c r="G60" s="90"/>
      <c r="H60" s="88">
        <f>G44</f>
        <v>39.026670716810756</v>
      </c>
      <c r="I60" s="93">
        <v>6.4561465907415405E-2</v>
      </c>
      <c r="J60" s="93">
        <f t="shared" ref="J60:Q60" si="13">I60+0.5%</f>
        <v>6.956146590741541E-2</v>
      </c>
      <c r="K60" s="93">
        <f t="shared" si="13"/>
        <v>7.4561465907415414E-2</v>
      </c>
      <c r="L60" s="93">
        <f t="shared" si="13"/>
        <v>7.9561465907415418E-2</v>
      </c>
      <c r="M60" s="93">
        <f t="shared" si="13"/>
        <v>8.4561465907415423E-2</v>
      </c>
      <c r="N60" s="93">
        <f t="shared" si="13"/>
        <v>8.9561465907415427E-2</v>
      </c>
      <c r="O60" s="93">
        <f t="shared" si="13"/>
        <v>9.4561465907415432E-2</v>
      </c>
      <c r="P60" s="93">
        <f t="shared" si="13"/>
        <v>9.9561465907415436E-2</v>
      </c>
      <c r="Q60" s="93">
        <f t="shared" si="13"/>
        <v>0.10456146590741544</v>
      </c>
    </row>
    <row r="61" spans="7:17" x14ac:dyDescent="0.25">
      <c r="G61" s="92"/>
      <c r="H61" s="93">
        <v>0.05</v>
      </c>
      <c r="I61" s="87">
        <f t="dataTable" ref="I61:Q67" dt2D="1" dtr="1" r1="G8" r2="G10" ca="1"/>
        <v>51.88272112455001</v>
      </c>
      <c r="J61" s="87">
        <v>43.905259532154389</v>
      </c>
      <c r="K61" s="87">
        <v>38.2365852341294</v>
      </c>
      <c r="L61" s="87">
        <v>34.001283909654902</v>
      </c>
      <c r="M61" s="87">
        <v>30.716844033355855</v>
      </c>
      <c r="N61" s="87">
        <v>28.095467180542169</v>
      </c>
      <c r="O61" s="87">
        <v>25.954850678618563</v>
      </c>
      <c r="P61" s="87">
        <v>24.173907375435633</v>
      </c>
      <c r="Q61" s="87">
        <v>22.669061257733073</v>
      </c>
    </row>
    <row r="62" spans="7:17" x14ac:dyDescent="0.25">
      <c r="G62" s="92"/>
      <c r="H62" s="93">
        <f t="shared" ref="H62:H67" si="14">H61+0.5%</f>
        <v>5.5E-2</v>
      </c>
      <c r="I62" s="87">
        <v>55.16842586008854</v>
      </c>
      <c r="J62" s="87">
        <v>46.625533658269156</v>
      </c>
      <c r="K62" s="87">
        <v>40.555295701473611</v>
      </c>
      <c r="L62" s="87">
        <v>36.020157856042772</v>
      </c>
      <c r="M62" s="87">
        <v>32.503358600499382</v>
      </c>
      <c r="N62" s="87">
        <v>29.696671018829516</v>
      </c>
      <c r="O62" s="87">
        <v>27.404852441637942</v>
      </c>
      <c r="P62" s="87">
        <v>25.49822102410003</v>
      </c>
      <c r="Q62" s="87">
        <v>23.887268731743035</v>
      </c>
    </row>
    <row r="63" spans="7:17" x14ac:dyDescent="0.25">
      <c r="G63" s="94" t="s">
        <v>1802</v>
      </c>
      <c r="H63" s="93">
        <f t="shared" si="14"/>
        <v>0.06</v>
      </c>
      <c r="I63" s="87">
        <v>58.454130595627092</v>
      </c>
      <c r="J63" s="87">
        <v>49.345807784383915</v>
      </c>
      <c r="K63" s="87">
        <v>42.874006168817814</v>
      </c>
      <c r="L63" s="87">
        <v>38.039031802430642</v>
      </c>
      <c r="M63" s="87">
        <v>34.289873167642909</v>
      </c>
      <c r="N63" s="87">
        <v>31.297874857116867</v>
      </c>
      <c r="O63" s="87">
        <v>28.854854204657322</v>
      </c>
      <c r="P63" s="87">
        <v>26.822534672764426</v>
      </c>
      <c r="Q63" s="87">
        <v>25.105476205752993</v>
      </c>
    </row>
    <row r="64" spans="7:17" x14ac:dyDescent="0.25">
      <c r="G64" s="92"/>
      <c r="H64" s="93">
        <f t="shared" si="14"/>
        <v>6.5000000000000002E-2</v>
      </c>
      <c r="I64" s="87">
        <v>61.739835331165636</v>
      </c>
      <c r="J64" s="87">
        <v>52.066081910498681</v>
      </c>
      <c r="K64" s="87">
        <v>45.192716636162039</v>
      </c>
      <c r="L64" s="87">
        <v>40.05790574881852</v>
      </c>
      <c r="M64" s="87">
        <v>36.076387734786444</v>
      </c>
      <c r="N64" s="87">
        <v>32.899078695404221</v>
      </c>
      <c r="O64" s="87">
        <v>30.304855967676712</v>
      </c>
      <c r="P64" s="87">
        <v>28.146848321428827</v>
      </c>
      <c r="Q64" s="87">
        <v>26.323683679762954</v>
      </c>
    </row>
    <row r="65" spans="7:17" x14ac:dyDescent="0.25">
      <c r="G65" s="92"/>
      <c r="H65" s="93">
        <f t="shared" si="14"/>
        <v>7.0000000000000007E-2</v>
      </c>
      <c r="I65" s="87">
        <v>65.025540066704153</v>
      </c>
      <c r="J65" s="87">
        <v>54.786356036613441</v>
      </c>
      <c r="K65" s="87">
        <v>47.511427103506236</v>
      </c>
      <c r="L65" s="87">
        <v>42.076779695206383</v>
      </c>
      <c r="M65" s="87">
        <v>37.862902301929964</v>
      </c>
      <c r="N65" s="87">
        <v>34.500282533691575</v>
      </c>
      <c r="O65" s="87">
        <v>31.754857730696095</v>
      </c>
      <c r="P65" s="87">
        <v>29.471161970093231</v>
      </c>
      <c r="Q65" s="87">
        <v>27.541891153772916</v>
      </c>
    </row>
    <row r="66" spans="7:17" x14ac:dyDescent="0.25">
      <c r="G66" s="92"/>
      <c r="H66" s="93">
        <f t="shared" si="14"/>
        <v>7.5000000000000011E-2</v>
      </c>
      <c r="I66" s="87">
        <v>68.311244802242683</v>
      </c>
      <c r="J66" s="87">
        <v>57.506630162728193</v>
      </c>
      <c r="K66" s="87">
        <v>49.830137570850447</v>
      </c>
      <c r="L66" s="87">
        <v>44.095653641594247</v>
      </c>
      <c r="M66" s="87">
        <v>39.649416869073491</v>
      </c>
      <c r="N66" s="87">
        <v>36.101486371978922</v>
      </c>
      <c r="O66" s="87">
        <v>33.204859493715475</v>
      </c>
      <c r="P66" s="87">
        <v>30.795475618757624</v>
      </c>
      <c r="Q66" s="87">
        <v>28.76009862778287</v>
      </c>
    </row>
    <row r="67" spans="7:17" x14ac:dyDescent="0.25">
      <c r="G67" s="90"/>
      <c r="H67" s="91">
        <f t="shared" si="14"/>
        <v>8.0000000000000016E-2</v>
      </c>
      <c r="I67" s="87">
        <v>71.596949537781242</v>
      </c>
      <c r="J67" s="87">
        <v>60.22690428884296</v>
      </c>
      <c r="K67" s="87">
        <v>52.148848038194664</v>
      </c>
      <c r="L67" s="87">
        <v>46.114527587982138</v>
      </c>
      <c r="M67" s="87">
        <v>41.435931436217018</v>
      </c>
      <c r="N67" s="87">
        <v>37.702690210266269</v>
      </c>
      <c r="O67" s="87">
        <v>34.654861256734861</v>
      </c>
      <c r="P67" s="87">
        <v>32.119789267422036</v>
      </c>
      <c r="Q67" s="87">
        <v>29.978306101792842</v>
      </c>
    </row>
  </sheetData>
  <conditionalFormatting sqref="I3:AH4">
    <cfRule type="cellIs" dxfId="13" priority="8" operator="equal">
      <formula>"Historical"</formula>
    </cfRule>
    <cfRule type="cellIs" dxfId="12" priority="9" stopIfTrue="1" operator="equal">
      <formula>"TTM"</formula>
    </cfRule>
    <cfRule type="cellIs" dxfId="11" priority="10" operator="equal">
      <formula>FALSE</formula>
    </cfRule>
  </conditionalFormatting>
  <conditionalFormatting sqref="I5:AH6">
    <cfRule type="cellIs" dxfId="10" priority="2" operator="equal">
      <formula>"Historical"</formula>
    </cfRule>
    <cfRule type="cellIs" dxfId="9" priority="3" stopIfTrue="1" operator="equal">
      <formula>"TTM"</formula>
    </cfRule>
    <cfRule type="cellIs" dxfId="8" priority="4" operator="equal">
      <formula>FALSE</formula>
    </cfRule>
  </conditionalFormatting>
  <conditionalFormatting sqref="I2:AH2">
    <cfRule type="cellIs" dxfId="7" priority="5" operator="equal">
      <formula>"Historical"</formula>
    </cfRule>
    <cfRule type="cellIs" dxfId="6" priority="6" stopIfTrue="1" operator="equal">
      <formula>"TTM"</formula>
    </cfRule>
    <cfRule type="cellIs" dxfId="5" priority="7" operator="equal">
      <formula>FALSE</formula>
    </cfRule>
  </conditionalFormatting>
  <conditionalFormatting sqref="I28:AH28">
    <cfRule type="cellIs" dxfId="4" priority="1" operator="lessThan">
      <formula>$G$8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2:T60"/>
  <sheetViews>
    <sheetView zoomScale="80" zoomScaleNormal="80" workbookViewId="0">
      <selection activeCell="H15" sqref="H15"/>
    </sheetView>
  </sheetViews>
  <sheetFormatPr defaultRowHeight="15.75" x14ac:dyDescent="0.25"/>
  <cols>
    <col min="1" max="3" width="1.625" customWidth="1"/>
    <col min="5" max="5" width="56.75" bestFit="1" customWidth="1"/>
    <col min="6" max="6" width="16.25" bestFit="1" customWidth="1"/>
    <col min="7" max="7" width="15.25" bestFit="1" customWidth="1"/>
    <col min="8" max="8" width="12.125" bestFit="1" customWidth="1"/>
    <col min="9" max="9" width="7.625" bestFit="1" customWidth="1"/>
    <col min="10" max="10" width="14.875" bestFit="1" customWidth="1"/>
    <col min="11" max="11" width="28.125" bestFit="1" customWidth="1"/>
    <col min="12" max="12" width="16.125" bestFit="1" customWidth="1"/>
    <col min="13" max="13" width="13.125" bestFit="1" customWidth="1"/>
  </cols>
  <sheetData>
    <row r="2" spans="2:20" x14ac:dyDescent="0.25">
      <c r="B2" s="2"/>
      <c r="C2" s="2" t="s">
        <v>1790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2:20" x14ac:dyDescent="0.25">
      <c r="E4" t="s">
        <v>1746</v>
      </c>
      <c r="F4" s="53">
        <v>28.91</v>
      </c>
      <c r="K4" s="6" t="s">
        <v>1776</v>
      </c>
      <c r="L4" s="6" t="s">
        <v>1775</v>
      </c>
    </row>
    <row r="5" spans="2:20" x14ac:dyDescent="0.25">
      <c r="E5" t="s">
        <v>1681</v>
      </c>
      <c r="F5" s="17">
        <f>925811.482</f>
        <v>925811.48199999996</v>
      </c>
      <c r="K5" s="61" t="s">
        <v>1774</v>
      </c>
      <c r="L5" s="64">
        <v>4.0000000000000001E-3</v>
      </c>
    </row>
    <row r="6" spans="2:20" x14ac:dyDescent="0.25">
      <c r="E6" t="s">
        <v>1680</v>
      </c>
      <c r="F6" s="32">
        <f>F4*F5</f>
        <v>26765209.944619998</v>
      </c>
      <c r="K6" s="61" t="s">
        <v>1773</v>
      </c>
      <c r="L6" s="64">
        <v>5.4999999999999997E-3</v>
      </c>
    </row>
    <row r="7" spans="2:20" x14ac:dyDescent="0.25">
      <c r="E7" t="str">
        <f>DCF!C38</f>
        <v>Cash</v>
      </c>
      <c r="F7" s="79">
        <f>-DCF!G38</f>
        <v>-3354142</v>
      </c>
      <c r="K7" s="61" t="s">
        <v>1772</v>
      </c>
      <c r="L7" s="64">
        <v>7.0000000000000001E-3</v>
      </c>
    </row>
    <row r="8" spans="2:20" x14ac:dyDescent="0.25">
      <c r="E8" t="str">
        <f>DCF!C39</f>
        <v>Investment in held to maturity securities</v>
      </c>
      <c r="F8" s="79">
        <f>-DCF!G39</f>
        <v>-845570</v>
      </c>
      <c r="K8" s="61" t="s">
        <v>1771</v>
      </c>
      <c r="L8" s="64">
        <v>7.7999999999999996E-3</v>
      </c>
    </row>
    <row r="9" spans="2:20" x14ac:dyDescent="0.25">
      <c r="E9" t="str">
        <f>DCF!C40</f>
        <v>Debt + leases</v>
      </c>
      <c r="F9" s="79">
        <f>-DCF!G40</f>
        <v>93116</v>
      </c>
      <c r="K9" s="61" t="s">
        <v>1770</v>
      </c>
      <c r="L9" s="64">
        <v>8.8999999999999999E-3</v>
      </c>
    </row>
    <row r="10" spans="2:20" x14ac:dyDescent="0.25">
      <c r="E10" t="str">
        <f>DCF!C41</f>
        <v>Redeeemable Non-Controlling Interest</v>
      </c>
      <c r="F10" s="79">
        <f>-DCF!G41</f>
        <v>17181</v>
      </c>
      <c r="K10" s="61" t="s">
        <v>1769</v>
      </c>
      <c r="L10" s="64">
        <v>1.11E-2</v>
      </c>
    </row>
    <row r="11" spans="2:20" x14ac:dyDescent="0.25">
      <c r="E11" t="s">
        <v>1743</v>
      </c>
      <c r="F11" s="32">
        <f>SUM(F6:F10)</f>
        <v>22675794.944619998</v>
      </c>
      <c r="K11" s="61" t="s">
        <v>1768</v>
      </c>
      <c r="L11" s="64">
        <v>1.38E-2</v>
      </c>
    </row>
    <row r="12" spans="2:20" x14ac:dyDescent="0.25">
      <c r="K12" s="61" t="s">
        <v>1767</v>
      </c>
      <c r="L12" s="64">
        <v>1.84E-2</v>
      </c>
    </row>
    <row r="13" spans="2:20" x14ac:dyDescent="0.25">
      <c r="E13" t="s">
        <v>1753</v>
      </c>
      <c r="F13" s="57">
        <v>4.6429999999999999E-2</v>
      </c>
      <c r="K13" s="61" t="s">
        <v>1766</v>
      </c>
      <c r="L13" s="64">
        <v>2.75E-2</v>
      </c>
    </row>
    <row r="14" spans="2:20" x14ac:dyDescent="0.25">
      <c r="E14" t="s">
        <v>1754</v>
      </c>
      <c r="F14" s="57">
        <v>2.3E-3</v>
      </c>
      <c r="K14" s="61" t="s">
        <v>1765</v>
      </c>
      <c r="L14" s="64">
        <v>3.2099999999999997E-2</v>
      </c>
    </row>
    <row r="15" spans="2:20" x14ac:dyDescent="0.25">
      <c r="E15" s="51" t="s">
        <v>1741</v>
      </c>
      <c r="F15" s="58">
        <f>F13-F14</f>
        <v>4.4130000000000003E-2</v>
      </c>
      <c r="K15" s="61" t="s">
        <v>1764</v>
      </c>
      <c r="L15" s="64">
        <v>5.0900000000000001E-2</v>
      </c>
    </row>
    <row r="16" spans="2:20" x14ac:dyDescent="0.25">
      <c r="K16" s="61" t="s">
        <v>1763</v>
      </c>
      <c r="L16" s="64">
        <v>8.8499999999999995E-2</v>
      </c>
    </row>
    <row r="17" spans="5:12" x14ac:dyDescent="0.25">
      <c r="E17" t="s">
        <v>1756</v>
      </c>
      <c r="F17" s="53">
        <v>1</v>
      </c>
      <c r="K17" s="61" t="s">
        <v>1762</v>
      </c>
      <c r="L17" s="64">
        <v>0.12609999999999999</v>
      </c>
    </row>
    <row r="18" spans="5:12" x14ac:dyDescent="0.25">
      <c r="E18" t="s">
        <v>1755</v>
      </c>
      <c r="F18" s="57">
        <v>2.3E-3</v>
      </c>
      <c r="K18" s="61" t="s">
        <v>1761</v>
      </c>
      <c r="L18" s="65">
        <v>0.16</v>
      </c>
    </row>
    <row r="19" spans="5:12" x14ac:dyDescent="0.25">
      <c r="E19" t="s">
        <v>1757</v>
      </c>
      <c r="F19" s="57">
        <v>4.2299999999999997E-2</v>
      </c>
      <c r="K19" s="61" t="s">
        <v>1760</v>
      </c>
      <c r="L19" s="65">
        <v>0.19</v>
      </c>
    </row>
    <row r="20" spans="5:12" x14ac:dyDescent="0.25">
      <c r="E20" s="51" t="s">
        <v>1758</v>
      </c>
      <c r="F20" s="58">
        <f>F19+(F17*F18)</f>
        <v>4.4600000000000001E-2</v>
      </c>
    </row>
    <row r="21" spans="5:12" x14ac:dyDescent="0.25">
      <c r="F21" s="57"/>
      <c r="K21" t="s">
        <v>1665</v>
      </c>
      <c r="L21" s="32">
        <f>'Operating Model'!L71</f>
        <v>1696714</v>
      </c>
    </row>
    <row r="22" spans="5:12" x14ac:dyDescent="0.25">
      <c r="E22" t="s">
        <v>1740</v>
      </c>
      <c r="F22" s="50">
        <f>F9/F6</f>
        <v>3.4789938204358075E-3</v>
      </c>
      <c r="K22" t="s">
        <v>1645</v>
      </c>
      <c r="L22" s="32">
        <f>'Operating Model'!L139</f>
        <v>2019</v>
      </c>
    </row>
    <row r="23" spans="5:12" x14ac:dyDescent="0.25">
      <c r="E23" s="54" t="s">
        <v>1745</v>
      </c>
      <c r="F23" s="60">
        <f>AVERAGE(M39:M59)</f>
        <v>0.68328409967862225</v>
      </c>
      <c r="K23" s="51" t="s">
        <v>1759</v>
      </c>
      <c r="L23" s="63">
        <f>L21/L22</f>
        <v>840.37345220406144</v>
      </c>
    </row>
    <row r="24" spans="5:12" x14ac:dyDescent="0.25">
      <c r="E24" t="s">
        <v>1810</v>
      </c>
      <c r="F24" s="107">
        <v>0.77</v>
      </c>
    </row>
    <row r="25" spans="5:12" x14ac:dyDescent="0.25">
      <c r="F25" s="107"/>
    </row>
    <row r="26" spans="5:12" x14ac:dyDescent="0.25">
      <c r="E26" t="s">
        <v>1812</v>
      </c>
      <c r="F26" s="6" t="b">
        <v>1</v>
      </c>
      <c r="K26" s="62" t="s">
        <v>1777</v>
      </c>
      <c r="L26" s="56">
        <f>L5</f>
        <v>4.0000000000000001E-3</v>
      </c>
    </row>
    <row r="27" spans="5:12" x14ac:dyDescent="0.25">
      <c r="E27" t="s">
        <v>1811</v>
      </c>
      <c r="F27" s="50">
        <f>IF(F26,F24,F23)</f>
        <v>0.77</v>
      </c>
    </row>
    <row r="28" spans="5:12" x14ac:dyDescent="0.25">
      <c r="E28" s="55" t="s">
        <v>1744</v>
      </c>
      <c r="F28" s="46">
        <v>0.21</v>
      </c>
    </row>
    <row r="29" spans="5:12" x14ac:dyDescent="0.25">
      <c r="E29" t="s">
        <v>1742</v>
      </c>
      <c r="F29" s="50">
        <f>F27*(1+(1-F28)*F22)</f>
        <v>0.77211627194097121</v>
      </c>
      <c r="K29" s="62"/>
      <c r="L29" s="56"/>
    </row>
    <row r="31" spans="5:12" x14ac:dyDescent="0.25">
      <c r="E31" t="s">
        <v>1779</v>
      </c>
      <c r="F31" s="8">
        <f>F15+F29*(F20)</f>
        <v>7.856638572856732E-2</v>
      </c>
    </row>
    <row r="32" spans="5:12" x14ac:dyDescent="0.25">
      <c r="E32" s="62" t="s">
        <v>1778</v>
      </c>
      <c r="F32" s="56">
        <f>F15+L26</f>
        <v>4.8130000000000006E-2</v>
      </c>
    </row>
    <row r="34" spans="2:20" x14ac:dyDescent="0.25">
      <c r="E34" s="66" t="s">
        <v>1673</v>
      </c>
      <c r="F34" s="83">
        <f>F31*(F6/(F6+F9))+F32*(F9/(F6+F9)*(1-F28))</f>
        <v>7.8425823511544354E-2</v>
      </c>
    </row>
    <row r="37" spans="2:20" x14ac:dyDescent="0.25">
      <c r="B37" s="2"/>
      <c r="C37" s="2" t="s">
        <v>1749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x14ac:dyDescent="0.25">
      <c r="D38" s="47" t="s">
        <v>1683</v>
      </c>
      <c r="E38" s="47" t="s">
        <v>1684</v>
      </c>
      <c r="F38" s="47" t="s">
        <v>1685</v>
      </c>
      <c r="G38" s="47" t="s">
        <v>1686</v>
      </c>
      <c r="H38" s="49" t="s">
        <v>1740</v>
      </c>
      <c r="I38" s="47" t="s">
        <v>1687</v>
      </c>
      <c r="J38" s="47" t="s">
        <v>1688</v>
      </c>
      <c r="K38" s="47" t="s">
        <v>1689</v>
      </c>
      <c r="L38" s="47" t="s">
        <v>1690</v>
      </c>
      <c r="M38" s="48" t="s">
        <v>1739</v>
      </c>
    </row>
    <row r="39" spans="2:20" x14ac:dyDescent="0.25">
      <c r="D39" s="1" t="s">
        <v>1691</v>
      </c>
      <c r="E39" s="1" t="s">
        <v>1692</v>
      </c>
      <c r="F39" s="17">
        <v>102468657152</v>
      </c>
      <c r="G39" s="17">
        <v>5696999936</v>
      </c>
      <c r="H39" s="45">
        <f>G39/F39</f>
        <v>5.5597487996248272E-2</v>
      </c>
      <c r="I39" s="45">
        <v>3.488</v>
      </c>
      <c r="J39" s="1" t="s">
        <v>6</v>
      </c>
      <c r="K39" s="1" t="s">
        <v>1693</v>
      </c>
      <c r="L39" s="46">
        <v>0.21</v>
      </c>
      <c r="M39" s="50">
        <f>I39/(1+(1-L39)*H39)</f>
        <v>3.341245752224562</v>
      </c>
    </row>
    <row r="40" spans="2:20" x14ac:dyDescent="0.25">
      <c r="D40" s="1" t="s">
        <v>1694</v>
      </c>
      <c r="E40" s="1" t="s">
        <v>1695</v>
      </c>
      <c r="F40" s="17">
        <v>64063557632</v>
      </c>
      <c r="G40" s="17">
        <v>700000000</v>
      </c>
      <c r="H40" s="45">
        <f t="shared" ref="H40:H59" si="0">G40/F40</f>
        <v>1.0926648876120911E-2</v>
      </c>
      <c r="I40" s="45">
        <v>0.61099999999999999</v>
      </c>
      <c r="J40" s="1" t="s">
        <v>1696</v>
      </c>
      <c r="K40" s="1" t="s">
        <v>1697</v>
      </c>
      <c r="L40" s="46">
        <v>0.3</v>
      </c>
      <c r="M40" s="50">
        <f t="shared" ref="M40:M59" si="1">I40/(1+(1-L40)*H40)</f>
        <v>0.60636214562012636</v>
      </c>
    </row>
    <row r="41" spans="2:20" x14ac:dyDescent="0.25">
      <c r="D41" s="1" t="s">
        <v>1698</v>
      </c>
      <c r="E41" s="1" t="s">
        <v>1699</v>
      </c>
      <c r="F41" s="17">
        <v>48435957760</v>
      </c>
      <c r="G41" s="17">
        <v>7206000128</v>
      </c>
      <c r="H41" s="45">
        <f t="shared" si="0"/>
        <v>0.14877377182682555</v>
      </c>
      <c r="I41" s="45">
        <v>1.355</v>
      </c>
      <c r="J41" s="1" t="s">
        <v>6</v>
      </c>
      <c r="K41" s="1" t="s">
        <v>1700</v>
      </c>
      <c r="L41" s="46">
        <v>0.21</v>
      </c>
      <c r="M41" s="50">
        <f t="shared" si="1"/>
        <v>1.2124940255017989</v>
      </c>
    </row>
    <row r="42" spans="2:20" x14ac:dyDescent="0.25">
      <c r="D42" s="1" t="s">
        <v>1701</v>
      </c>
      <c r="E42" s="1" t="s">
        <v>1702</v>
      </c>
      <c r="F42" s="17">
        <v>20724011008</v>
      </c>
      <c r="G42" s="17">
        <v>4440399872</v>
      </c>
      <c r="H42" s="45">
        <f t="shared" si="0"/>
        <v>0.21426353567781312</v>
      </c>
      <c r="I42" s="45">
        <v>0.55200000000000005</v>
      </c>
      <c r="J42" s="1" t="s">
        <v>6</v>
      </c>
      <c r="K42" s="1" t="s">
        <v>1703</v>
      </c>
      <c r="L42" s="46">
        <v>0.21</v>
      </c>
      <c r="M42" s="50">
        <f t="shared" si="1"/>
        <v>0.47209015281273492</v>
      </c>
    </row>
    <row r="43" spans="2:20" x14ac:dyDescent="0.25">
      <c r="D43" s="1" t="s">
        <v>1704</v>
      </c>
      <c r="E43" s="1" t="s">
        <v>1705</v>
      </c>
      <c r="F43" s="17">
        <v>14256066560</v>
      </c>
      <c r="G43" s="17">
        <v>9371199488</v>
      </c>
      <c r="H43" s="45">
        <f t="shared" si="0"/>
        <v>0.65734818566952591</v>
      </c>
      <c r="I43" s="45">
        <v>0.83299999999999996</v>
      </c>
      <c r="J43" s="1" t="s">
        <v>6</v>
      </c>
      <c r="K43" s="1" t="s">
        <v>1693</v>
      </c>
      <c r="L43" s="46">
        <v>0.21</v>
      </c>
      <c r="M43" s="50">
        <f t="shared" si="1"/>
        <v>0.54827698417465864</v>
      </c>
    </row>
    <row r="44" spans="2:20" x14ac:dyDescent="0.25">
      <c r="D44" s="1" t="s">
        <v>1706</v>
      </c>
      <c r="E44" s="1" t="s">
        <v>1707</v>
      </c>
      <c r="F44" s="17">
        <v>10639637504</v>
      </c>
      <c r="G44" s="17">
        <v>34658426880</v>
      </c>
      <c r="H44" s="45">
        <f t="shared" si="0"/>
        <v>3.2574819270835187</v>
      </c>
      <c r="I44" s="45">
        <v>0.89300000000000002</v>
      </c>
      <c r="J44" s="1" t="s">
        <v>1708</v>
      </c>
      <c r="K44" s="1" t="s">
        <v>1693</v>
      </c>
      <c r="L44" s="46">
        <v>0.25</v>
      </c>
      <c r="M44" s="50">
        <f t="shared" si="1"/>
        <v>0.2593584361655521</v>
      </c>
    </row>
    <row r="45" spans="2:20" x14ac:dyDescent="0.25">
      <c r="D45" s="1" t="s">
        <v>1709</v>
      </c>
      <c r="E45" s="1" t="s">
        <v>1710</v>
      </c>
      <c r="F45" s="17">
        <v>7004923904</v>
      </c>
      <c r="G45" s="17">
        <v>11331300352</v>
      </c>
      <c r="H45" s="45">
        <f t="shared" si="0"/>
        <v>1.6176193356689461</v>
      </c>
      <c r="I45" s="45">
        <v>0.72699999999999998</v>
      </c>
      <c r="J45" s="1" t="s">
        <v>6</v>
      </c>
      <c r="K45" s="1" t="s">
        <v>1693</v>
      </c>
      <c r="L45" s="46">
        <v>0.21</v>
      </c>
      <c r="M45" s="50">
        <f t="shared" si="1"/>
        <v>0.3191509057945181</v>
      </c>
    </row>
    <row r="46" spans="2:20" x14ac:dyDescent="0.25">
      <c r="D46" s="1" t="s">
        <v>1711</v>
      </c>
      <c r="E46" s="1" t="s">
        <v>1712</v>
      </c>
      <c r="F46" s="17">
        <v>4180527616</v>
      </c>
      <c r="G46" s="17">
        <v>211000000</v>
      </c>
      <c r="H46" s="45">
        <f t="shared" si="0"/>
        <v>5.0472098113273176E-2</v>
      </c>
      <c r="I46" s="45">
        <v>0.69299999999999995</v>
      </c>
      <c r="J46" s="1" t="s">
        <v>7</v>
      </c>
      <c r="K46" s="1" t="s">
        <v>1713</v>
      </c>
      <c r="L46" s="46">
        <v>0.25</v>
      </c>
      <c r="M46" s="50">
        <f t="shared" si="1"/>
        <v>0.66772392924781787</v>
      </c>
    </row>
    <row r="47" spans="2:20" x14ac:dyDescent="0.25">
      <c r="D47" s="1" t="s">
        <v>1714</v>
      </c>
      <c r="E47" s="1" t="s">
        <v>1715</v>
      </c>
      <c r="F47" s="17">
        <v>4005072640</v>
      </c>
      <c r="G47" s="17">
        <v>5530500096</v>
      </c>
      <c r="H47" s="45">
        <f t="shared" si="0"/>
        <v>1.3808738550120279</v>
      </c>
      <c r="I47" s="45">
        <v>0.72399999999999998</v>
      </c>
      <c r="J47" s="1" t="s">
        <v>6</v>
      </c>
      <c r="K47" s="1" t="s">
        <v>1693</v>
      </c>
      <c r="L47" s="46">
        <v>0.21</v>
      </c>
      <c r="M47" s="50">
        <f t="shared" si="1"/>
        <v>0.34626397389619734</v>
      </c>
    </row>
    <row r="48" spans="2:20" x14ac:dyDescent="0.25">
      <c r="D48" s="1" t="s">
        <v>1716</v>
      </c>
      <c r="E48" s="1" t="s">
        <v>1717</v>
      </c>
      <c r="F48" s="17">
        <v>3416313344</v>
      </c>
      <c r="G48" s="17">
        <v>5611899904</v>
      </c>
      <c r="H48" s="45">
        <f t="shared" si="0"/>
        <v>1.6426771607048467</v>
      </c>
      <c r="I48" s="45">
        <v>0.83399999999999996</v>
      </c>
      <c r="J48" s="1" t="s">
        <v>6</v>
      </c>
      <c r="K48" s="1" t="s">
        <v>1693</v>
      </c>
      <c r="L48" s="46">
        <v>0.21</v>
      </c>
      <c r="M48" s="50">
        <f t="shared" si="1"/>
        <v>0.36296930455837639</v>
      </c>
    </row>
    <row r="49" spans="4:14" x14ac:dyDescent="0.25">
      <c r="D49" s="1" t="s">
        <v>1718</v>
      </c>
      <c r="E49" s="1" t="s">
        <v>1719</v>
      </c>
      <c r="F49" s="17">
        <v>3409974272</v>
      </c>
      <c r="G49" s="17">
        <v>187995008</v>
      </c>
      <c r="H49" s="45">
        <f t="shared" si="0"/>
        <v>5.513091683525758E-2</v>
      </c>
      <c r="I49" s="45">
        <v>1.1659999999999999</v>
      </c>
      <c r="J49" s="1" t="s">
        <v>6</v>
      </c>
      <c r="K49" s="1" t="s">
        <v>1693</v>
      </c>
      <c r="L49" s="46">
        <v>0.21</v>
      </c>
      <c r="M49" s="50">
        <f t="shared" si="1"/>
        <v>1.1173361831305368</v>
      </c>
    </row>
    <row r="50" spans="4:14" x14ac:dyDescent="0.25">
      <c r="D50" s="1" t="s">
        <v>1720</v>
      </c>
      <c r="E50" s="1" t="s">
        <v>1721</v>
      </c>
      <c r="F50" s="17">
        <v>3302465280</v>
      </c>
      <c r="G50" s="17">
        <v>3426648064</v>
      </c>
      <c r="H50" s="45">
        <f t="shared" si="0"/>
        <v>1.0376030551334063</v>
      </c>
      <c r="I50" s="45">
        <v>1.006</v>
      </c>
      <c r="J50" s="1" t="s">
        <v>5</v>
      </c>
      <c r="K50" s="1" t="s">
        <v>1722</v>
      </c>
      <c r="L50" s="46">
        <v>0.3</v>
      </c>
      <c r="M50" s="50">
        <f t="shared" si="1"/>
        <v>0.58274175920589977</v>
      </c>
    </row>
    <row r="51" spans="4:14" x14ac:dyDescent="0.25">
      <c r="D51" s="1" t="s">
        <v>1723</v>
      </c>
      <c r="E51" s="1" t="s">
        <v>1724</v>
      </c>
      <c r="F51" s="17">
        <v>2670813440</v>
      </c>
      <c r="G51" s="17">
        <v>56602000</v>
      </c>
      <c r="H51" s="45">
        <f t="shared" si="0"/>
        <v>2.1192794357062991E-2</v>
      </c>
      <c r="I51" s="45">
        <v>0.23100000000000001</v>
      </c>
      <c r="J51" s="1" t="s">
        <v>1708</v>
      </c>
      <c r="K51" s="1" t="s">
        <v>1713</v>
      </c>
      <c r="L51" s="46">
        <v>0.25</v>
      </c>
      <c r="M51" s="50">
        <f t="shared" si="1"/>
        <v>0.22738579470974923</v>
      </c>
    </row>
    <row r="52" spans="4:14" x14ac:dyDescent="0.25">
      <c r="D52" s="1" t="s">
        <v>1725</v>
      </c>
      <c r="E52" s="1" t="s">
        <v>1726</v>
      </c>
      <c r="F52" s="17">
        <v>1483469952</v>
      </c>
      <c r="G52" s="17">
        <v>4550128128</v>
      </c>
      <c r="H52" s="45">
        <f t="shared" si="0"/>
        <v>3.0672196102560494</v>
      </c>
      <c r="I52" s="45">
        <v>0.70299999999999996</v>
      </c>
      <c r="J52" s="1" t="s">
        <v>1708</v>
      </c>
      <c r="K52" s="1" t="s">
        <v>1693</v>
      </c>
      <c r="L52" s="46">
        <v>0.25</v>
      </c>
      <c r="M52" s="50">
        <f t="shared" si="1"/>
        <v>0.21300353508956585</v>
      </c>
    </row>
    <row r="53" spans="4:14" x14ac:dyDescent="0.25">
      <c r="D53" s="1" t="s">
        <v>1727</v>
      </c>
      <c r="E53" s="1" t="s">
        <v>1728</v>
      </c>
      <c r="F53" s="17">
        <v>1385331200</v>
      </c>
      <c r="G53" s="17">
        <v>246000000</v>
      </c>
      <c r="H53" s="45">
        <f t="shared" si="0"/>
        <v>0.1775748644078759</v>
      </c>
      <c r="I53" s="45">
        <v>1.8440000000000001</v>
      </c>
      <c r="J53" s="1" t="s">
        <v>6</v>
      </c>
      <c r="K53" s="1" t="s">
        <v>1693</v>
      </c>
      <c r="L53" s="46">
        <v>0.21</v>
      </c>
      <c r="M53" s="50">
        <f t="shared" si="1"/>
        <v>1.6171407903113004</v>
      </c>
    </row>
    <row r="54" spans="4:14" x14ac:dyDescent="0.25">
      <c r="D54" s="1" t="s">
        <v>1729</v>
      </c>
      <c r="E54" s="1" t="s">
        <v>1730</v>
      </c>
      <c r="F54" s="17">
        <v>683135040</v>
      </c>
      <c r="G54" s="17">
        <v>451819008</v>
      </c>
      <c r="H54" s="45">
        <f t="shared" si="0"/>
        <v>0.66139047412939034</v>
      </c>
      <c r="I54" s="45">
        <v>1.597</v>
      </c>
      <c r="J54" s="1" t="s">
        <v>6</v>
      </c>
      <c r="K54" s="1" t="s">
        <v>1713</v>
      </c>
      <c r="L54" s="46">
        <v>0.21</v>
      </c>
      <c r="M54" s="50">
        <f t="shared" si="1"/>
        <v>1.0489337274766095</v>
      </c>
    </row>
    <row r="55" spans="4:14" x14ac:dyDescent="0.25">
      <c r="D55" s="1" t="s">
        <v>1731</v>
      </c>
      <c r="E55" s="1" t="s">
        <v>1732</v>
      </c>
      <c r="F55" s="17">
        <v>289933984</v>
      </c>
      <c r="G55" s="17">
        <v>1740590976</v>
      </c>
      <c r="H55" s="45">
        <f t="shared" si="0"/>
        <v>6.0034044715503239</v>
      </c>
      <c r="I55" s="45">
        <v>-0.626</v>
      </c>
      <c r="J55" s="1" t="s">
        <v>1708</v>
      </c>
      <c r="K55" s="1" t="s">
        <v>1693</v>
      </c>
      <c r="L55" s="46">
        <v>0.25</v>
      </c>
      <c r="M55" s="50">
        <f t="shared" si="1"/>
        <v>-0.11376536668804979</v>
      </c>
    </row>
    <row r="56" spans="4:14" x14ac:dyDescent="0.25">
      <c r="D56" s="1" t="s">
        <v>1733</v>
      </c>
      <c r="E56" s="1" t="s">
        <v>1734</v>
      </c>
      <c r="F56" s="17">
        <v>44300976</v>
      </c>
      <c r="G56" s="17">
        <v>52827000</v>
      </c>
      <c r="H56" s="45">
        <f t="shared" si="0"/>
        <v>1.1924567982430003</v>
      </c>
      <c r="I56" s="45">
        <v>0.65900000000000003</v>
      </c>
      <c r="J56" s="1" t="s">
        <v>6</v>
      </c>
      <c r="K56" s="1" t="s">
        <v>1735</v>
      </c>
      <c r="L56" s="46">
        <v>0.21</v>
      </c>
      <c r="M56" s="50">
        <f t="shared" si="1"/>
        <v>0.33933374419269452</v>
      </c>
    </row>
    <row r="57" spans="4:14" x14ac:dyDescent="0.25">
      <c r="D57" s="1" t="s">
        <v>1736</v>
      </c>
      <c r="E57" t="s">
        <v>1752</v>
      </c>
      <c r="F57" s="17">
        <v>8197393920</v>
      </c>
      <c r="G57" s="17">
        <v>16563300352</v>
      </c>
      <c r="H57" s="45">
        <f t="shared" si="0"/>
        <v>2.0205568396059221</v>
      </c>
      <c r="I57" s="45">
        <v>1.2410000000000001</v>
      </c>
      <c r="J57" s="1" t="s">
        <v>6</v>
      </c>
      <c r="K57" s="1" t="s">
        <v>1693</v>
      </c>
      <c r="L57" s="46">
        <v>0.21</v>
      </c>
      <c r="M57" s="50">
        <f t="shared" si="1"/>
        <v>0.47799897013677944</v>
      </c>
    </row>
    <row r="58" spans="4:14" x14ac:dyDescent="0.25">
      <c r="D58" s="1" t="s">
        <v>1737</v>
      </c>
      <c r="E58" t="s">
        <v>1751</v>
      </c>
      <c r="F58" s="17">
        <v>4735063552</v>
      </c>
      <c r="G58" s="17">
        <v>29124999168</v>
      </c>
      <c r="H58" s="45">
        <f t="shared" si="0"/>
        <v>6.1509204360516261</v>
      </c>
      <c r="I58" s="45">
        <v>1.901</v>
      </c>
      <c r="J58" s="1" t="s">
        <v>6</v>
      </c>
      <c r="K58" s="1" t="s">
        <v>1722</v>
      </c>
      <c r="L58" s="46">
        <v>0.21</v>
      </c>
      <c r="M58" s="50">
        <f t="shared" si="1"/>
        <v>0.32444552039438934</v>
      </c>
    </row>
    <row r="59" spans="4:14" x14ac:dyDescent="0.25">
      <c r="D59" s="1" t="s">
        <v>1738</v>
      </c>
      <c r="E59" t="s">
        <v>1750</v>
      </c>
      <c r="F59" s="17">
        <v>2741477376</v>
      </c>
      <c r="G59" s="17">
        <v>4671799808</v>
      </c>
      <c r="H59" s="45">
        <f t="shared" si="0"/>
        <v>1.7041175859771165</v>
      </c>
      <c r="I59" s="45">
        <v>0.88800000000000001</v>
      </c>
      <c r="J59" s="1" t="s">
        <v>6</v>
      </c>
      <c r="K59" s="1" t="s">
        <v>1693</v>
      </c>
      <c r="L59" s="46">
        <v>0.21</v>
      </c>
      <c r="M59" s="50">
        <f t="shared" si="1"/>
        <v>0.37847582529525331</v>
      </c>
    </row>
    <row r="60" spans="4:14" x14ac:dyDescent="0.25"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</row>
  </sheetData>
  <conditionalFormatting sqref="F26">
    <cfRule type="cellIs" dxfId="3" priority="1" operator="equal">
      <formula>FALSE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AI24"/>
  <sheetViews>
    <sheetView topLeftCell="B1" zoomScale="80" zoomScaleNormal="80" workbookViewId="0">
      <selection activeCell="M20" sqref="M20"/>
    </sheetView>
  </sheetViews>
  <sheetFormatPr defaultColWidth="0" defaultRowHeight="15.75" x14ac:dyDescent="0.25"/>
  <cols>
    <col min="1" max="3" width="1.625" customWidth="1"/>
    <col min="4" max="4" width="31.75" bestFit="1" customWidth="1"/>
    <col min="5" max="7" width="9.5" bestFit="1" customWidth="1"/>
    <col min="8" max="8" width="4" customWidth="1"/>
    <col min="9" max="9" width="10.875" bestFit="1" customWidth="1"/>
    <col min="10" max="10" width="12.375" bestFit="1" customWidth="1"/>
    <col min="11" max="22" width="10.875" bestFit="1" customWidth="1"/>
    <col min="23" max="23" width="10.75" bestFit="1" customWidth="1"/>
    <col min="24" max="24" width="10.875" bestFit="1" customWidth="1"/>
    <col min="25" max="34" width="9.5" bestFit="1" customWidth="1"/>
    <col min="35" max="35" width="0" hidden="1" customWidth="1"/>
    <col min="36" max="16384" width="9" hidden="1"/>
  </cols>
  <sheetData>
    <row r="2" spans="4:34" x14ac:dyDescent="0.25">
      <c r="D2" s="2" t="s">
        <v>1817</v>
      </c>
      <c r="E2" s="2" t="s">
        <v>1632</v>
      </c>
      <c r="F2" s="2" t="s">
        <v>1633</v>
      </c>
      <c r="G2" s="2" t="s">
        <v>1633</v>
      </c>
      <c r="H2" s="2"/>
      <c r="I2" s="6">
        <v>2022</v>
      </c>
      <c r="J2" s="6">
        <v>2023</v>
      </c>
      <c r="K2" s="6">
        <v>2024</v>
      </c>
      <c r="L2" s="6">
        <v>2025</v>
      </c>
      <c r="M2" s="41">
        <v>2025</v>
      </c>
      <c r="N2" s="6">
        <v>2026</v>
      </c>
      <c r="O2" s="6">
        <v>2027</v>
      </c>
      <c r="P2" s="6">
        <v>2028</v>
      </c>
      <c r="Q2" s="6">
        <v>2029</v>
      </c>
      <c r="R2" s="6">
        <v>2030</v>
      </c>
      <c r="S2" s="6">
        <v>2031</v>
      </c>
      <c r="T2" s="6">
        <v>2032</v>
      </c>
      <c r="U2" s="6">
        <v>2033</v>
      </c>
      <c r="V2" s="6">
        <v>2034</v>
      </c>
      <c r="W2" s="6">
        <v>2035</v>
      </c>
      <c r="X2" s="6">
        <v>2036</v>
      </c>
      <c r="Y2" s="6">
        <v>2037</v>
      </c>
      <c r="Z2" s="6">
        <v>2038</v>
      </c>
      <c r="AA2" s="6">
        <v>2039</v>
      </c>
      <c r="AB2" s="6">
        <v>2040</v>
      </c>
      <c r="AC2" s="6">
        <v>2041</v>
      </c>
      <c r="AD2" s="6">
        <v>2042</v>
      </c>
      <c r="AE2" s="6">
        <v>2043</v>
      </c>
      <c r="AF2" s="6">
        <v>2044</v>
      </c>
      <c r="AG2" s="6">
        <v>2045</v>
      </c>
      <c r="AH2" s="6">
        <v>2046</v>
      </c>
    </row>
    <row r="3" spans="4:34" x14ac:dyDescent="0.25">
      <c r="D3" s="2" t="s">
        <v>1640</v>
      </c>
      <c r="E3" s="2"/>
      <c r="F3" s="2"/>
      <c r="G3" s="2"/>
      <c r="H3" s="2"/>
      <c r="I3" s="6" t="b">
        <f>DCF!I4</f>
        <v>0</v>
      </c>
      <c r="J3" s="6" t="b">
        <f>DCF!J4</f>
        <v>0</v>
      </c>
      <c r="K3" s="6" t="b">
        <f>DCF!K4</f>
        <v>0</v>
      </c>
      <c r="L3" s="6" t="b">
        <f>DCF!L4</f>
        <v>0</v>
      </c>
      <c r="M3" s="41" t="b">
        <f>DCF!M4</f>
        <v>0</v>
      </c>
      <c r="N3" s="6" t="b">
        <f>DCF!N4</f>
        <v>1</v>
      </c>
      <c r="O3" s="6" t="b">
        <f>DCF!O4</f>
        <v>1</v>
      </c>
      <c r="P3" s="6" t="b">
        <f>DCF!P4</f>
        <v>1</v>
      </c>
      <c r="Q3" s="6" t="b">
        <f>DCF!Q4</f>
        <v>1</v>
      </c>
      <c r="R3" s="6" t="b">
        <f>DCF!R4</f>
        <v>1</v>
      </c>
      <c r="S3" s="6" t="b">
        <f>DCF!S4</f>
        <v>1</v>
      </c>
      <c r="T3" s="6" t="b">
        <f>DCF!T4</f>
        <v>1</v>
      </c>
      <c r="U3" s="6" t="b">
        <f>DCF!U4</f>
        <v>1</v>
      </c>
      <c r="V3" s="6" t="b">
        <f>DCF!V4</f>
        <v>1</v>
      </c>
      <c r="W3" s="6" t="b">
        <f>DCF!W4</f>
        <v>1</v>
      </c>
      <c r="X3" s="6" t="b">
        <f>DCF!X4</f>
        <v>0</v>
      </c>
      <c r="Y3" s="6" t="b">
        <f>DCF!Y4</f>
        <v>0</v>
      </c>
      <c r="Z3" s="6" t="b">
        <f>DCF!Z4</f>
        <v>0</v>
      </c>
      <c r="AA3" s="6" t="b">
        <f>DCF!AA4</f>
        <v>0</v>
      </c>
      <c r="AB3" s="6" t="b">
        <f>DCF!AB4</f>
        <v>0</v>
      </c>
      <c r="AC3" s="6" t="b">
        <f>DCF!AC4</f>
        <v>0</v>
      </c>
      <c r="AD3" s="6" t="b">
        <f>DCF!AD4</f>
        <v>0</v>
      </c>
      <c r="AE3" s="6" t="b">
        <f>DCF!AE4</f>
        <v>0</v>
      </c>
      <c r="AF3" s="6" t="b">
        <f>DCF!AF4</f>
        <v>0</v>
      </c>
      <c r="AG3" s="6" t="b">
        <f>DCF!AG4</f>
        <v>0</v>
      </c>
      <c r="AH3" s="6" t="b">
        <f>DCF!AH4</f>
        <v>0</v>
      </c>
    </row>
    <row r="4" spans="4:34" x14ac:dyDescent="0.25">
      <c r="D4" t="s">
        <v>1818</v>
      </c>
      <c r="I4" s="23"/>
      <c r="J4" s="23">
        <f>I7</f>
        <v>2485764</v>
      </c>
      <c r="K4" s="23">
        <f t="shared" ref="K4:AH4" si="0">J7</f>
        <v>2844339</v>
      </c>
      <c r="L4" s="23">
        <f t="shared" si="0"/>
        <v>3175838</v>
      </c>
      <c r="M4" s="23">
        <f t="shared" si="0"/>
        <v>3598093</v>
      </c>
      <c r="N4" s="23">
        <f t="shared" si="0"/>
        <v>3598093</v>
      </c>
      <c r="O4" s="23">
        <f t="shared" si="0"/>
        <v>3886855.3403000003</v>
      </c>
      <c r="P4" s="23">
        <f t="shared" si="0"/>
        <v>4140734.1920250002</v>
      </c>
      <c r="Q4" s="23">
        <f t="shared" si="0"/>
        <v>4359431.02335844</v>
      </c>
      <c r="R4" s="23">
        <f t="shared" si="0"/>
        <v>4542666.8271165555</v>
      </c>
      <c r="S4" s="23">
        <f t="shared" si="0"/>
        <v>4690182.76116342</v>
      </c>
      <c r="T4" s="23">
        <f t="shared" si="0"/>
        <v>4801740.801882511</v>
      </c>
      <c r="U4" s="23">
        <f t="shared" si="0"/>
        <v>4877124.4109239085</v>
      </c>
      <c r="V4" s="23">
        <f t="shared" si="0"/>
        <v>4916139.2154495073</v>
      </c>
      <c r="W4" s="23">
        <f t="shared" si="0"/>
        <v>4918613.7021019822</v>
      </c>
      <c r="X4" s="23">
        <f t="shared" si="0"/>
        <v>4860601.6255163588</v>
      </c>
      <c r="Y4" s="23">
        <f t="shared" si="0"/>
        <v>4860601.6255163588</v>
      </c>
      <c r="Z4" s="23">
        <f t="shared" si="0"/>
        <v>4860601.6255163588</v>
      </c>
      <c r="AA4" s="23">
        <f t="shared" si="0"/>
        <v>4860601.6255163588</v>
      </c>
      <c r="AB4" s="23">
        <f t="shared" si="0"/>
        <v>4860601.6255163588</v>
      </c>
      <c r="AC4" s="23">
        <f t="shared" si="0"/>
        <v>4860601.6255163588</v>
      </c>
      <c r="AD4" s="23">
        <f t="shared" si="0"/>
        <v>4860601.6255163588</v>
      </c>
      <c r="AE4" s="23">
        <f t="shared" si="0"/>
        <v>4860601.6255163588</v>
      </c>
      <c r="AF4" s="23">
        <f t="shared" si="0"/>
        <v>4860601.6255163588</v>
      </c>
      <c r="AG4" s="23">
        <f t="shared" si="0"/>
        <v>4860601.6255163588</v>
      </c>
      <c r="AH4" s="23">
        <f t="shared" si="0"/>
        <v>4860601.6255163588</v>
      </c>
    </row>
    <row r="5" spans="4:34" x14ac:dyDescent="0.25">
      <c r="D5" t="s">
        <v>1668</v>
      </c>
      <c r="I5" s="79">
        <f>-'Operating Model'!I117</f>
        <v>337448</v>
      </c>
      <c r="J5" s="79">
        <f>-'Operating Model'!J117</f>
        <v>516636</v>
      </c>
      <c r="K5" s="79">
        <f>-'Operating Model'!K117</f>
        <v>510990</v>
      </c>
      <c r="L5" s="79">
        <f>-'Operating Model'!L117</f>
        <v>568990</v>
      </c>
      <c r="M5" s="79">
        <f>-'Operating Model'!M117</f>
        <v>0</v>
      </c>
      <c r="N5" s="79">
        <f>-'Operating Model'!N117</f>
        <v>533206.674</v>
      </c>
      <c r="O5" s="79">
        <f>-'Operating Model'!O117</f>
        <v>524550.72149999999</v>
      </c>
      <c r="P5" s="79">
        <f>-'Operating Model'!P117</f>
        <v>515124.94853520003</v>
      </c>
      <c r="Q5" s="79">
        <f>-'Operating Model'!Q117</f>
        <v>504909.39048407989</v>
      </c>
      <c r="R5" s="79">
        <f>-'Operating Model'!R117</f>
        <v>493883.70607666136</v>
      </c>
      <c r="S5" s="79">
        <f>-'Operating Model'!S117</f>
        <v>482027.1713146189</v>
      </c>
      <c r="T5" s="79">
        <f>-'Operating Model'!T117</f>
        <v>469318.67330202676</v>
      </c>
      <c r="U5" s="79">
        <f>-'Operating Model'!U117</f>
        <v>455736.70398550306</v>
      </c>
      <c r="V5" s="79">
        <f>-'Operating Model'!V117</f>
        <v>441259.35380250483</v>
      </c>
      <c r="W5" s="79">
        <f>-'Operating Model'!W117</f>
        <v>400813.46375200601</v>
      </c>
      <c r="X5" s="79">
        <f>-'Operating Model'!X117</f>
        <v>0</v>
      </c>
      <c r="Y5" s="79">
        <f>-'Operating Model'!Y117</f>
        <v>0</v>
      </c>
      <c r="Z5" s="79">
        <f>-'Operating Model'!Z117</f>
        <v>0</v>
      </c>
      <c r="AA5" s="79">
        <f>-'Operating Model'!AA117</f>
        <v>0</v>
      </c>
      <c r="AB5" s="79">
        <f>-'Operating Model'!AB117</f>
        <v>0</v>
      </c>
      <c r="AC5" s="79">
        <f>-'Operating Model'!AC117</f>
        <v>0</v>
      </c>
      <c r="AD5" s="79">
        <f>-'Operating Model'!AD117</f>
        <v>0</v>
      </c>
      <c r="AE5" s="79">
        <f>-'Operating Model'!AE117</f>
        <v>0</v>
      </c>
      <c r="AF5" s="79">
        <f>-'Operating Model'!AF117</f>
        <v>0</v>
      </c>
      <c r="AG5" s="79">
        <f>-'Operating Model'!AG117</f>
        <v>0</v>
      </c>
      <c r="AH5" s="79">
        <f>-'Operating Model'!AH117</f>
        <v>0</v>
      </c>
    </row>
    <row r="6" spans="4:34" x14ac:dyDescent="0.25">
      <c r="D6" t="s">
        <v>1819</v>
      </c>
      <c r="I6" s="79">
        <f>-'Operating Model'!I97</f>
        <v>-138605</v>
      </c>
      <c r="J6" s="79">
        <f>-'Operating Model'!J97</f>
        <v>-159684</v>
      </c>
      <c r="K6" s="79">
        <f>-'Operating Model'!K97</f>
        <v>-190256</v>
      </c>
      <c r="L6" s="79">
        <f>-'Operating Model'!L97</f>
        <v>-217784</v>
      </c>
      <c r="M6" s="79">
        <f>-'Operating Model'!M97</f>
        <v>0</v>
      </c>
      <c r="N6" s="23">
        <f>-N24</f>
        <v>-244444.33369999999</v>
      </c>
      <c r="O6" s="23">
        <f t="shared" ref="O6:AH6" si="1">-O24</f>
        <v>-270671.86977499997</v>
      </c>
      <c r="P6" s="23">
        <f t="shared" si="1"/>
        <v>-296428.11720175995</v>
      </c>
      <c r="Q6" s="23">
        <f t="shared" si="1"/>
        <v>-321673.58672596392</v>
      </c>
      <c r="R6" s="23">
        <f t="shared" si="1"/>
        <v>-346367.77202979696</v>
      </c>
      <c r="S6" s="23">
        <f t="shared" si="1"/>
        <v>-370469.13059552794</v>
      </c>
      <c r="T6" s="23">
        <f t="shared" si="1"/>
        <v>-393935.0642606293</v>
      </c>
      <c r="U6" s="23">
        <f t="shared" si="1"/>
        <v>-416721.89945990447</v>
      </c>
      <c r="V6" s="23">
        <f t="shared" si="1"/>
        <v>-438784.86715002969</v>
      </c>
      <c r="W6" s="23">
        <f t="shared" si="1"/>
        <v>-458825.54033762997</v>
      </c>
      <c r="X6" s="23">
        <f t="shared" si="1"/>
        <v>0</v>
      </c>
      <c r="Y6" s="23">
        <f t="shared" si="1"/>
        <v>0</v>
      </c>
      <c r="Z6" s="23">
        <f t="shared" si="1"/>
        <v>0</v>
      </c>
      <c r="AA6" s="23">
        <f t="shared" si="1"/>
        <v>0</v>
      </c>
      <c r="AB6" s="23">
        <f t="shared" si="1"/>
        <v>0</v>
      </c>
      <c r="AC6" s="23">
        <f t="shared" si="1"/>
        <v>0</v>
      </c>
      <c r="AD6" s="23">
        <f t="shared" si="1"/>
        <v>0</v>
      </c>
      <c r="AE6" s="23">
        <f t="shared" si="1"/>
        <v>0</v>
      </c>
      <c r="AF6" s="23">
        <f t="shared" si="1"/>
        <v>0</v>
      </c>
      <c r="AG6" s="23">
        <f t="shared" si="1"/>
        <v>0</v>
      </c>
      <c r="AH6" s="23">
        <f t="shared" si="1"/>
        <v>0</v>
      </c>
    </row>
    <row r="7" spans="4:34" x14ac:dyDescent="0.25">
      <c r="D7" t="s">
        <v>1820</v>
      </c>
      <c r="I7" s="79">
        <f>'Operating Model'!I162</f>
        <v>2485764</v>
      </c>
      <c r="J7" s="79">
        <f>'Operating Model'!J162</f>
        <v>2844339</v>
      </c>
      <c r="K7" s="79">
        <f>'Operating Model'!K162</f>
        <v>3175838</v>
      </c>
      <c r="L7" s="79">
        <f>'Operating Model'!L162</f>
        <v>3598093</v>
      </c>
      <c r="M7" s="23">
        <f>SUM(M4:M6)</f>
        <v>3598093</v>
      </c>
      <c r="N7" s="23">
        <f>SUM(N4:N6)</f>
        <v>3886855.3403000003</v>
      </c>
      <c r="O7" s="23">
        <f t="shared" ref="O7:AH7" si="2">SUM(O4:O6)</f>
        <v>4140734.1920250002</v>
      </c>
      <c r="P7" s="23">
        <f t="shared" si="2"/>
        <v>4359431.02335844</v>
      </c>
      <c r="Q7" s="23">
        <f t="shared" si="2"/>
        <v>4542666.8271165555</v>
      </c>
      <c r="R7" s="23">
        <f t="shared" si="2"/>
        <v>4690182.76116342</v>
      </c>
      <c r="S7" s="23">
        <f t="shared" si="2"/>
        <v>4801740.801882511</v>
      </c>
      <c r="T7" s="23">
        <f t="shared" si="2"/>
        <v>4877124.4109239085</v>
      </c>
      <c r="U7" s="23">
        <f t="shared" si="2"/>
        <v>4916139.2154495073</v>
      </c>
      <c r="V7" s="23">
        <f t="shared" si="2"/>
        <v>4918613.7021019822</v>
      </c>
      <c r="W7" s="23">
        <f t="shared" si="2"/>
        <v>4860601.6255163588</v>
      </c>
      <c r="X7" s="23">
        <f>SUM(X4:X6)</f>
        <v>4860601.6255163588</v>
      </c>
      <c r="Y7" s="23">
        <f t="shared" si="2"/>
        <v>4860601.6255163588</v>
      </c>
      <c r="Z7" s="23">
        <f t="shared" si="2"/>
        <v>4860601.6255163588</v>
      </c>
      <c r="AA7" s="23">
        <f t="shared" si="2"/>
        <v>4860601.6255163588</v>
      </c>
      <c r="AB7" s="23">
        <f t="shared" si="2"/>
        <v>4860601.6255163588</v>
      </c>
      <c r="AC7" s="23">
        <f t="shared" si="2"/>
        <v>4860601.6255163588</v>
      </c>
      <c r="AD7" s="23">
        <f t="shared" si="2"/>
        <v>4860601.6255163588</v>
      </c>
      <c r="AE7" s="23">
        <f t="shared" si="2"/>
        <v>4860601.6255163588</v>
      </c>
      <c r="AF7" s="23">
        <f t="shared" si="2"/>
        <v>4860601.6255163588</v>
      </c>
      <c r="AG7" s="23">
        <f t="shared" si="2"/>
        <v>4860601.6255163588</v>
      </c>
      <c r="AH7" s="23">
        <f t="shared" si="2"/>
        <v>4860601.6255163588</v>
      </c>
    </row>
    <row r="10" spans="4:34" x14ac:dyDescent="0.25">
      <c r="D10" t="s">
        <v>1821</v>
      </c>
      <c r="E10" s="116" t="s">
        <v>1825</v>
      </c>
      <c r="G10" s="113">
        <f>-L7/L6</f>
        <v>16.52138357271425</v>
      </c>
    </row>
    <row r="11" spans="4:34" x14ac:dyDescent="0.25">
      <c r="D11" t="s">
        <v>1822</v>
      </c>
      <c r="E11" s="116" t="s">
        <v>1825</v>
      </c>
      <c r="G11" s="118">
        <v>20</v>
      </c>
    </row>
    <row r="13" spans="4:34" x14ac:dyDescent="0.25">
      <c r="D13" t="s">
        <v>1823</v>
      </c>
      <c r="G13" s="23">
        <f>M7/G10</f>
        <v>217784</v>
      </c>
      <c r="N13" s="19">
        <f>G13</f>
        <v>217784</v>
      </c>
      <c r="O13" s="19">
        <f>MAX(0,MIN($N$13,$M$7-SUM($N$13:N13)))*O3</f>
        <v>217784</v>
      </c>
      <c r="P13" s="19">
        <f>MAX(0,MIN($N$13,$M$7-SUM($N$13:O13)))*P3</f>
        <v>217784</v>
      </c>
      <c r="Q13" s="19">
        <f>MAX(0,MIN($N$13,$M$7-SUM($N$13:P13)))*Q3</f>
        <v>217784</v>
      </c>
      <c r="R13" s="19">
        <f>MAX(0,MIN($N$13,$M$7-SUM($N$13:Q13)))*R3</f>
        <v>217784</v>
      </c>
      <c r="S13" s="19">
        <f>MAX(0,MIN($N$13,$M$7-SUM($N$13:R13)))*S3</f>
        <v>217784</v>
      </c>
      <c r="T13" s="19">
        <f>MAX(0,MIN($N$13,$M$7-SUM($N$13:S13)))*T3</f>
        <v>217784</v>
      </c>
      <c r="U13" s="19">
        <f>MAX(0,MIN($N$13,$M$7-SUM($N$13:T13)))*U3</f>
        <v>217784</v>
      </c>
      <c r="V13" s="19">
        <f>MAX(0,MIN($N$13,$M$7-SUM($N$13:U13)))*V3</f>
        <v>217784</v>
      </c>
      <c r="W13" s="19">
        <f>MAX(0,MIN($N$13,$M$7-SUM($N$13:V13)))*W3</f>
        <v>217784</v>
      </c>
      <c r="X13" s="19">
        <f>MAX(0,MIN($N$13,$M$7-SUM($N$13:W13)))*X3</f>
        <v>0</v>
      </c>
      <c r="Y13" s="19">
        <f>MAX(0,MIN($N$13,$M$7-SUM($N$13:X13)))*Y3</f>
        <v>0</v>
      </c>
      <c r="Z13" s="19">
        <f>MAX(0,MIN($N$13,$M$7-SUM($N$13:Y13)))*Z3</f>
        <v>0</v>
      </c>
      <c r="AA13" s="19">
        <f>MAX(0,MIN($N$13,$M$7-SUM($N$13:Z13)))*AA3</f>
        <v>0</v>
      </c>
      <c r="AB13" s="19">
        <f>MAX(0,MIN($N$13,$M$7-SUM($N$13:AA13)))*AB3</f>
        <v>0</v>
      </c>
      <c r="AC13" s="19">
        <f>MAX(0,MIN($N$13,$M$7-SUM($N$13:AB13)))*AC3</f>
        <v>0</v>
      </c>
      <c r="AD13" s="19">
        <f>MAX(0,MIN($N$13,$M$7-SUM($N$13:AC13)))*AD3</f>
        <v>0</v>
      </c>
      <c r="AE13" s="19">
        <f>MAX(0,MIN($N$13,$M$7-SUM($N$13:AD13)))*AE3</f>
        <v>0</v>
      </c>
      <c r="AF13" s="19">
        <f>MAX(0,MIN($N$13,$M$7-SUM($N$13:AE13)))*AF3</f>
        <v>0</v>
      </c>
      <c r="AG13" s="19">
        <f>MAX(0,MIN($N$13,$M$7-SUM($N$13:AF13)))*AG3</f>
        <v>0</v>
      </c>
      <c r="AH13" s="19">
        <f>MAX(0,MIN($N$13,$M$7-SUM($N$13:AG13)))*AH3</f>
        <v>0</v>
      </c>
    </row>
    <row r="14" spans="4:34" x14ac:dyDescent="0.25">
      <c r="D14">
        <v>2026</v>
      </c>
      <c r="F14" s="23">
        <f t="array" ref="F14:F23">TRANSPOSE(N5:W5)</f>
        <v>533206.674</v>
      </c>
      <c r="G14" s="23">
        <f>F14/$G$11</f>
        <v>26660.333699999999</v>
      </c>
      <c r="M14" s="23"/>
      <c r="N14" s="19">
        <f>G14</f>
        <v>26660.333699999999</v>
      </c>
      <c r="O14" s="19">
        <f>MAX(0,MIN($N$14,$F$14-SUM($N$14:N14)))*O3</f>
        <v>26660.333699999999</v>
      </c>
      <c r="P14" s="19">
        <f>MAX(0,MIN($N$14,$F$14-SUM($N$14:O14)))*P3</f>
        <v>26660.333699999999</v>
      </c>
      <c r="Q14" s="19">
        <f>MAX(0,MIN($N$14,$F$14-SUM($N$14:P14)))*Q3</f>
        <v>26660.333699999999</v>
      </c>
      <c r="R14" s="19">
        <f>MAX(0,MIN($N$14,$F$14-SUM($N$14:Q14)))*R3</f>
        <v>26660.333699999999</v>
      </c>
      <c r="S14" s="19">
        <f>MAX(0,MIN($N$14,$F$14-SUM($N$14:R14)))*S3</f>
        <v>26660.333699999999</v>
      </c>
      <c r="T14" s="19">
        <f>MAX(0,MIN($N$14,$F$14-SUM($N$14:S14)))*T3</f>
        <v>26660.333699999999</v>
      </c>
      <c r="U14" s="19">
        <f>MAX(0,MIN($N$14,$F$14-SUM($N$14:T14)))*U3</f>
        <v>26660.333699999999</v>
      </c>
      <c r="V14" s="19">
        <f>MAX(0,MIN($N$14,$F$14-SUM($N$14:U14)))*V3</f>
        <v>26660.333699999999</v>
      </c>
      <c r="W14" s="19">
        <f>MAX(0,MIN($N$14,$F$14-SUM($N$14:V14)))*W3</f>
        <v>26660.333699999999</v>
      </c>
      <c r="X14" s="19">
        <f>MAX(0,MIN($N$14,$F$14-SUM($N$14:W14)))*X3</f>
        <v>0</v>
      </c>
      <c r="Y14" s="19">
        <f>MAX(0,MIN($N$14,$F$14-SUM($N$14:X14)))*Y3</f>
        <v>0</v>
      </c>
      <c r="Z14" s="19">
        <f>MAX(0,MIN($N$14,$F$14-SUM($N$14:Y14)))*Z3</f>
        <v>0</v>
      </c>
      <c r="AA14" s="19">
        <f>MAX(0,MIN($N$14,$F$14-SUM($N$14:Z14)))*AA3</f>
        <v>0</v>
      </c>
      <c r="AB14" s="19">
        <f>MAX(0,MIN($N$14,$F$14-SUM($N$14:AA14)))*AB3</f>
        <v>0</v>
      </c>
      <c r="AC14" s="19">
        <f>MAX(0,MIN($N$14,$F$14-SUM($N$14:AB14)))*AC3</f>
        <v>0</v>
      </c>
      <c r="AD14" s="19">
        <f>MAX(0,MIN($N$14,$F$14-SUM($N$14:AC14)))*AD3</f>
        <v>0</v>
      </c>
      <c r="AE14" s="19">
        <f>MAX(0,MIN($N$14,$F$14-SUM($N$14:AD14)))*AE3</f>
        <v>0</v>
      </c>
      <c r="AF14" s="19">
        <f>MAX(0,MIN($N$14,$F$14-SUM($N$14:AE14)))*AF3</f>
        <v>0</v>
      </c>
      <c r="AG14" s="19">
        <f>MAX(0,MIN($N$14,$F$14-SUM($N$14:AF14)))*AG3</f>
        <v>0</v>
      </c>
      <c r="AH14" s="19">
        <f>MAX(0,MIN($N$14,$F$14-SUM($N$14:AG14)))*AH3</f>
        <v>0</v>
      </c>
    </row>
    <row r="15" spans="4:34" x14ac:dyDescent="0.25">
      <c r="D15">
        <f>D14+1</f>
        <v>2027</v>
      </c>
      <c r="F15" s="23">
        <v>524550.72149999999</v>
      </c>
      <c r="G15" s="23">
        <f t="shared" ref="G15:G23" si="3">F15/$G$11</f>
        <v>26227.536075</v>
      </c>
      <c r="M15" s="23"/>
      <c r="N15" s="19"/>
      <c r="O15" s="19">
        <f>G15</f>
        <v>26227.536075</v>
      </c>
      <c r="P15" s="19">
        <f>MAX(0,MIN($O$15,$F$15-SUM($O$15:O15)))*P3</f>
        <v>26227.536075</v>
      </c>
      <c r="Q15" s="19">
        <f>MAX(0,MIN($O$15,$F$15-SUM($O$15:P15)))*Q3</f>
        <v>26227.536075</v>
      </c>
      <c r="R15" s="19">
        <f>MAX(0,MIN($O$15,$F$15-SUM($O$15:Q15)))*R3</f>
        <v>26227.536075</v>
      </c>
      <c r="S15" s="19">
        <f>MAX(0,MIN($O$15,$F$15-SUM($O$15:R15)))*S3</f>
        <v>26227.536075</v>
      </c>
      <c r="T15" s="19">
        <f>MAX(0,MIN($O$15,$F$15-SUM($O$15:S15)))*T3</f>
        <v>26227.536075</v>
      </c>
      <c r="U15" s="19">
        <f>MAX(0,MIN($O$15,$F$15-SUM($O$15:T15)))*U3</f>
        <v>26227.536075</v>
      </c>
      <c r="V15" s="19">
        <f>MAX(0,MIN($O$15,$F$15-SUM($O$15:U15)))*V3</f>
        <v>26227.536075</v>
      </c>
      <c r="W15" s="19">
        <f>MAX(0,MIN($O$15,$F$15-SUM($O$15:V15)))*W3</f>
        <v>26227.536075</v>
      </c>
      <c r="X15" s="19">
        <f>MAX(0,MIN($O$15,$F$15-SUM($O$15:W15)))*X3</f>
        <v>0</v>
      </c>
      <c r="Y15" s="19">
        <f>MAX(0,MIN($O$15,$F$15-SUM($O$15:X15)))*Y3</f>
        <v>0</v>
      </c>
      <c r="Z15" s="19">
        <f>MAX(0,MIN($O$15,$F$15-SUM($O$15:Y15)))*Z3</f>
        <v>0</v>
      </c>
      <c r="AA15" s="19">
        <f>MAX(0,MIN($O$15,$F$15-SUM($O$15:Z15)))*AA3</f>
        <v>0</v>
      </c>
      <c r="AB15" s="19">
        <f>MAX(0,MIN($O$15,$F$15-SUM($O$15:AA15)))*AB3</f>
        <v>0</v>
      </c>
      <c r="AC15" s="19">
        <f>MAX(0,MIN($O$15,$F$15-SUM($O$15:AB15)))*AC3</f>
        <v>0</v>
      </c>
      <c r="AD15" s="19">
        <f>MAX(0,MIN($O$15,$F$15-SUM($O$15:AC15)))*AD3</f>
        <v>0</v>
      </c>
      <c r="AE15" s="19">
        <f>MAX(0,MIN($O$15,$F$15-SUM($O$15:AD15)))*AE3</f>
        <v>0</v>
      </c>
      <c r="AF15" s="19">
        <f>MAX(0,MIN($O$15,$F$15-SUM($O$15:AE15)))*AF3</f>
        <v>0</v>
      </c>
      <c r="AG15" s="19">
        <f>MAX(0,MIN($O$15,$F$15-SUM($O$15:AF15)))*AG3</f>
        <v>0</v>
      </c>
      <c r="AH15" s="19">
        <f>MAX(0,MIN($O$15,$F$15-SUM($O$15:AG15)))*AH3</f>
        <v>0</v>
      </c>
    </row>
    <row r="16" spans="4:34" x14ac:dyDescent="0.25">
      <c r="D16">
        <f t="shared" ref="D16:D23" si="4">D15+1</f>
        <v>2028</v>
      </c>
      <c r="F16" s="23">
        <v>515124.94853520003</v>
      </c>
      <c r="G16" s="23">
        <f t="shared" si="3"/>
        <v>25756.247426760001</v>
      </c>
      <c r="M16" s="23"/>
      <c r="N16" s="19"/>
      <c r="O16" s="19"/>
      <c r="P16" s="19">
        <f>G16</f>
        <v>25756.247426760001</v>
      </c>
      <c r="Q16" s="19">
        <f>MAX(0,MIN($P$16,$F$16-SUM($P$16:P16)))*Q3</f>
        <v>25756.247426760001</v>
      </c>
      <c r="R16" s="19">
        <f>MAX(0,MIN($P$16,$F$16-SUM($P$16:Q16)))*R3</f>
        <v>25756.247426760001</v>
      </c>
      <c r="S16" s="19">
        <f>MAX(0,MIN($P$16,$F$16-SUM($P$16:R16)))*S3</f>
        <v>25756.247426760001</v>
      </c>
      <c r="T16" s="19">
        <f>MAX(0,MIN($P$16,$F$16-SUM($P$16:S16)))*T3</f>
        <v>25756.247426760001</v>
      </c>
      <c r="U16" s="19">
        <f>MAX(0,MIN($P$16,$F$16-SUM($P$16:T16)))*U3</f>
        <v>25756.247426760001</v>
      </c>
      <c r="V16" s="19">
        <f>MAX(0,MIN($P$16,$F$16-SUM($P$16:U16)))*V3</f>
        <v>25756.247426760001</v>
      </c>
      <c r="W16" s="19">
        <f>MAX(0,MIN($P$16,$F$16-SUM($P$16:V16)))*W3</f>
        <v>25756.247426760001</v>
      </c>
      <c r="X16" s="19">
        <f>MAX(0,MIN($P$16,$F$16-SUM($P$16:W16)))*X3</f>
        <v>0</v>
      </c>
      <c r="Y16" s="19">
        <f>MAX(0,MIN($P$16,$F$16-SUM($P$16:X16)))*Y3</f>
        <v>0</v>
      </c>
      <c r="Z16" s="19">
        <f>MAX(0,MIN($P$16,$F$16-SUM($P$16:Y16)))*Z3</f>
        <v>0</v>
      </c>
      <c r="AA16" s="19">
        <f>MAX(0,MIN($P$16,$F$16-SUM($P$16:Z16)))*AA3</f>
        <v>0</v>
      </c>
      <c r="AB16" s="19">
        <f>MAX(0,MIN($P$16,$F$16-SUM($P$16:AA16)))*AB3</f>
        <v>0</v>
      </c>
      <c r="AC16" s="19">
        <f>MAX(0,MIN($P$16,$F$16-SUM($P$16:AB16)))*AC3</f>
        <v>0</v>
      </c>
      <c r="AD16" s="19">
        <f>MAX(0,MIN($P$16,$F$16-SUM($P$16:AC16)))*AD3</f>
        <v>0</v>
      </c>
      <c r="AE16" s="19">
        <f>MAX(0,MIN($P$16,$F$16-SUM($P$16:AD16)))*AE3</f>
        <v>0</v>
      </c>
      <c r="AF16" s="19">
        <f>MAX(0,MIN($P$16,$F$16-SUM($P$16:AE16)))*AF3</f>
        <v>0</v>
      </c>
      <c r="AG16" s="19">
        <f>MAX(0,MIN($P$16,$F$16-SUM($P$16:AF16)))*AG3</f>
        <v>0</v>
      </c>
      <c r="AH16" s="19">
        <f>MAX(0,MIN($P$16,$F$16-SUM($P$16:AG16)))*AH3</f>
        <v>0</v>
      </c>
    </row>
    <row r="17" spans="4:34" x14ac:dyDescent="0.25">
      <c r="D17">
        <f t="shared" si="4"/>
        <v>2029</v>
      </c>
      <c r="F17" s="23">
        <v>504909.39048407989</v>
      </c>
      <c r="G17" s="23">
        <f t="shared" si="3"/>
        <v>25245.469524203996</v>
      </c>
      <c r="M17" s="23"/>
      <c r="N17" s="19"/>
      <c r="O17" s="19"/>
      <c r="P17" s="19"/>
      <c r="Q17" s="19">
        <f>G17</f>
        <v>25245.469524203996</v>
      </c>
      <c r="R17" s="19">
        <f>MAX(0,MIN($Q$17,$F$17-SUM($Q$17:Q17)))*R3</f>
        <v>25245.469524203996</v>
      </c>
      <c r="S17" s="19">
        <f>MAX(0,MIN($Q$17,$F$17-SUM($Q$17:R17)))*S3</f>
        <v>25245.469524203996</v>
      </c>
      <c r="T17" s="19">
        <f>MAX(0,MIN($Q$17,$F$17-SUM($Q$17:S17)))*T3</f>
        <v>25245.469524203996</v>
      </c>
      <c r="U17" s="19">
        <f>MAX(0,MIN($Q$17,$F$17-SUM($Q$17:T17)))*U3</f>
        <v>25245.469524203996</v>
      </c>
      <c r="V17" s="19">
        <f>MAX(0,MIN($Q$17,$F$17-SUM($Q$17:U17)))*V3</f>
        <v>25245.469524203996</v>
      </c>
      <c r="W17" s="19">
        <f>MAX(0,MIN($Q$17,$F$17-SUM($Q$17:V17)))*W3</f>
        <v>25245.469524203996</v>
      </c>
      <c r="X17" s="19">
        <f>MAX(0,MIN($Q$17,$F$17-SUM($Q$17:W17)))*X3</f>
        <v>0</v>
      </c>
      <c r="Y17" s="19">
        <f>MAX(0,MIN($Q$17,$F$17-SUM($Q$17:X17)))*Y3</f>
        <v>0</v>
      </c>
      <c r="Z17" s="19">
        <f>MAX(0,MIN($Q$17,$F$17-SUM($Q$17:Y17)))*Z3</f>
        <v>0</v>
      </c>
      <c r="AA17" s="19">
        <f>MAX(0,MIN($Q$17,$F$17-SUM($Q$17:Z17)))*AA3</f>
        <v>0</v>
      </c>
      <c r="AB17" s="19">
        <f>MAX(0,MIN($Q$17,$F$17-SUM($Q$17:AA17)))*AB3</f>
        <v>0</v>
      </c>
      <c r="AC17" s="19">
        <f>MAX(0,MIN($Q$17,$F$17-SUM($Q$17:AB17)))*AC3</f>
        <v>0</v>
      </c>
      <c r="AD17" s="19">
        <f>MAX(0,MIN($Q$17,$F$17-SUM($Q$17:AC17)))*AD3</f>
        <v>0</v>
      </c>
      <c r="AE17" s="19">
        <f>MAX(0,MIN($Q$17,$F$17-SUM($Q$17:AD17)))*AE3</f>
        <v>0</v>
      </c>
      <c r="AF17" s="19">
        <f>MAX(0,MIN($Q$17,$F$17-SUM($Q$17:AE17)))*AF3</f>
        <v>0</v>
      </c>
      <c r="AG17" s="19">
        <f>MAX(0,MIN($Q$17,$F$17-SUM($Q$17:AF17)))*AG3</f>
        <v>0</v>
      </c>
      <c r="AH17" s="19">
        <f>MAX(0,MIN($Q$17,$F$17-SUM($Q$17:AG17)))*AH3</f>
        <v>0</v>
      </c>
    </row>
    <row r="18" spans="4:34" x14ac:dyDescent="0.25">
      <c r="D18">
        <f t="shared" si="4"/>
        <v>2030</v>
      </c>
      <c r="F18" s="23">
        <v>493883.70607666136</v>
      </c>
      <c r="G18" s="23">
        <f t="shared" si="3"/>
        <v>24694.185303833066</v>
      </c>
      <c r="M18" s="23"/>
      <c r="N18" s="19"/>
      <c r="O18" s="19"/>
      <c r="P18" s="19"/>
      <c r="Q18" s="19"/>
      <c r="R18" s="19">
        <f>G18</f>
        <v>24694.185303833066</v>
      </c>
      <c r="S18" s="19">
        <f>MAX(0,MIN($R$18,$F$18-SUM($R$18:R18)))*S3</f>
        <v>24694.185303833066</v>
      </c>
      <c r="T18" s="19">
        <f>MAX(0,MIN($R$18,$F$18-SUM($R$18:S18)))*T3</f>
        <v>24694.185303833066</v>
      </c>
      <c r="U18" s="19">
        <f>MAX(0,MIN($R$18,$F$18-SUM($R$18:T18)))*U3</f>
        <v>24694.185303833066</v>
      </c>
      <c r="V18" s="19">
        <f>MAX(0,MIN($R$18,$F$18-SUM($R$18:U18)))*V3</f>
        <v>24694.185303833066</v>
      </c>
      <c r="W18" s="19">
        <f>MAX(0,MIN($R$18,$F$18-SUM($R$18:V18)))*W3</f>
        <v>24694.185303833066</v>
      </c>
      <c r="X18" s="19">
        <f>MAX(0,MIN($R$18,$F$18-SUM($R$18:W18)))*X3</f>
        <v>0</v>
      </c>
      <c r="Y18" s="19">
        <f>MAX(0,MIN($R$18,$F$18-SUM($R$18:X18)))*Y3</f>
        <v>0</v>
      </c>
      <c r="Z18" s="19">
        <f>MAX(0,MIN($R$18,$F$18-SUM($R$18:Y18)))*Z3</f>
        <v>0</v>
      </c>
      <c r="AA18" s="19">
        <f>MAX(0,MIN($R$18,$F$18-SUM($R$18:Z18)))*AA3</f>
        <v>0</v>
      </c>
      <c r="AB18" s="19">
        <f>MAX(0,MIN($R$18,$F$18-SUM($R$18:AA18)))*AB3</f>
        <v>0</v>
      </c>
      <c r="AC18" s="19">
        <f>MAX(0,MIN($R$18,$F$18-SUM($R$18:AB18)))*AC3</f>
        <v>0</v>
      </c>
      <c r="AD18" s="19">
        <f>MAX(0,MIN($R$18,$F$18-SUM($R$18:AC18)))*AD3</f>
        <v>0</v>
      </c>
      <c r="AE18" s="19">
        <f>MAX(0,MIN($R$18,$F$18-SUM($R$18:AD18)))*AE3</f>
        <v>0</v>
      </c>
      <c r="AF18" s="19">
        <f>MAX(0,MIN($R$18,$F$18-SUM($R$18:AE18)))*AF3</f>
        <v>0</v>
      </c>
      <c r="AG18" s="19">
        <f>MAX(0,MIN($R$18,$F$18-SUM($R$18:AF18)))*AG3</f>
        <v>0</v>
      </c>
      <c r="AH18" s="19">
        <f>MAX(0,MIN($R$18,$F$18-SUM($R$18:AG18)))*AH3</f>
        <v>0</v>
      </c>
    </row>
    <row r="19" spans="4:34" x14ac:dyDescent="0.25">
      <c r="D19">
        <f t="shared" si="4"/>
        <v>2031</v>
      </c>
      <c r="F19" s="23">
        <v>482027.1713146189</v>
      </c>
      <c r="G19" s="23">
        <f t="shared" si="3"/>
        <v>24101.358565730945</v>
      </c>
      <c r="M19" s="23"/>
      <c r="N19" s="19"/>
      <c r="O19" s="19"/>
      <c r="P19" s="19"/>
      <c r="Q19" s="19"/>
      <c r="R19" s="19"/>
      <c r="S19" s="19">
        <f>G19</f>
        <v>24101.358565730945</v>
      </c>
      <c r="T19" s="19">
        <f>MAX(0,MIN($S$19,$F$19-SUM($S$19:S19)))*T3</f>
        <v>24101.358565730945</v>
      </c>
      <c r="U19" s="19">
        <f>MAX(0,MIN($S$19,$F$19-SUM($S$19:T19)))*U3</f>
        <v>24101.358565730945</v>
      </c>
      <c r="V19" s="19">
        <f>MAX(0,MIN($S$19,$F$19-SUM($S$19:U19)))*V3</f>
        <v>24101.358565730945</v>
      </c>
      <c r="W19" s="19">
        <f>MAX(0,MIN($S$19,$F$19-SUM($S$19:V19)))*W3</f>
        <v>24101.358565730945</v>
      </c>
      <c r="X19" s="19">
        <f>MAX(0,MIN($S$19,$F$19-SUM($S$19:W19)))*X3</f>
        <v>0</v>
      </c>
      <c r="Y19" s="19">
        <f>MAX(0,MIN($S$19,$F$19-SUM($S$19:X19)))*Y3</f>
        <v>0</v>
      </c>
      <c r="Z19" s="19">
        <f>MAX(0,MIN($S$19,$F$19-SUM($S$19:Y19)))*Z3</f>
        <v>0</v>
      </c>
      <c r="AA19" s="19">
        <f>MAX(0,MIN($S$19,$F$19-SUM($S$19:Z19)))*AA3</f>
        <v>0</v>
      </c>
      <c r="AB19" s="19">
        <f>MAX(0,MIN($S$19,$F$19-SUM($S$19:AA19)))*AB3</f>
        <v>0</v>
      </c>
      <c r="AC19" s="19">
        <f>MAX(0,MIN($S$19,$F$19-SUM($S$19:AB19)))*AC3</f>
        <v>0</v>
      </c>
      <c r="AD19" s="19">
        <f>MAX(0,MIN($S$19,$F$19-SUM($S$19:AC19)))*AD3</f>
        <v>0</v>
      </c>
      <c r="AE19" s="19">
        <f>MAX(0,MIN($S$19,$F$19-SUM($S$19:AD19)))*AE3</f>
        <v>0</v>
      </c>
      <c r="AF19" s="19">
        <f>MAX(0,MIN($S$19,$F$19-SUM($S$19:AE19)))*AF3</f>
        <v>0</v>
      </c>
      <c r="AG19" s="19">
        <f>MAX(0,MIN($S$19,$F$19-SUM($S$19:AF19)))*AG3</f>
        <v>0</v>
      </c>
      <c r="AH19" s="19">
        <f>MAX(0,MIN($S$19,$F$19-SUM($S$19:AG19)))*AH3</f>
        <v>0</v>
      </c>
    </row>
    <row r="20" spans="4:34" x14ac:dyDescent="0.25">
      <c r="D20">
        <f t="shared" si="4"/>
        <v>2032</v>
      </c>
      <c r="F20" s="23">
        <v>469318.67330202676</v>
      </c>
      <c r="G20" s="23">
        <f t="shared" si="3"/>
        <v>23465.933665101336</v>
      </c>
      <c r="M20" s="23"/>
      <c r="N20" s="19"/>
      <c r="O20" s="19"/>
      <c r="P20" s="19"/>
      <c r="Q20" s="19"/>
      <c r="R20" s="19"/>
      <c r="S20" s="19"/>
      <c r="T20" s="19">
        <f>G20</f>
        <v>23465.933665101336</v>
      </c>
      <c r="U20" s="19">
        <f>MAX(0,MIN($T$20,$F$20-SUM($T$20:T20)))*U3</f>
        <v>23465.933665101336</v>
      </c>
      <c r="V20" s="19">
        <f>MAX(0,MIN($T$20,$F$20-SUM($T$20:U20)))*V3</f>
        <v>23465.933665101336</v>
      </c>
      <c r="W20" s="19">
        <f>MAX(0,MIN($T$20,$F$20-SUM($T$20:V20)))*W3</f>
        <v>23465.933665101336</v>
      </c>
      <c r="X20" s="19">
        <f>MAX(0,MIN($T$20,$F$20-SUM($T$20:W20)))*X3</f>
        <v>0</v>
      </c>
      <c r="Y20" s="19">
        <f>MAX(0,MIN($T$20,$F$20-SUM($T$20:X20)))*Y3</f>
        <v>0</v>
      </c>
      <c r="Z20" s="19">
        <f>MAX(0,MIN($T$20,$F$20-SUM($T$20:Y20)))*Z3</f>
        <v>0</v>
      </c>
      <c r="AA20" s="19">
        <f>MAX(0,MIN($T$20,$F$20-SUM($T$20:Z20)))*AA3</f>
        <v>0</v>
      </c>
      <c r="AB20" s="19">
        <f>MAX(0,MIN($T$20,$F$20-SUM($T$20:AA20)))*AB3</f>
        <v>0</v>
      </c>
      <c r="AC20" s="19">
        <f>MAX(0,MIN($T$20,$F$20-SUM($T$20:AB20)))*AC3</f>
        <v>0</v>
      </c>
      <c r="AD20" s="19">
        <f>MAX(0,MIN($T$20,$F$20-SUM($T$20:AC20)))*AD3</f>
        <v>0</v>
      </c>
      <c r="AE20" s="19">
        <f>MAX(0,MIN($T$20,$F$20-SUM($T$20:AD20)))*AE3</f>
        <v>0</v>
      </c>
      <c r="AF20" s="19">
        <f>MAX(0,MIN($T$20,$F$20-SUM($T$20:AE20)))*AF3</f>
        <v>0</v>
      </c>
      <c r="AG20" s="19">
        <f>MAX(0,MIN($T$20,$F$20-SUM($T$20:AF20)))*AG3</f>
        <v>0</v>
      </c>
      <c r="AH20" s="19">
        <f>MAX(0,MIN($T$20,$F$20-SUM($T$20:AG20)))*AH3</f>
        <v>0</v>
      </c>
    </row>
    <row r="21" spans="4:34" x14ac:dyDescent="0.25">
      <c r="D21">
        <f t="shared" si="4"/>
        <v>2033</v>
      </c>
      <c r="F21" s="23">
        <v>455736.70398550306</v>
      </c>
      <c r="G21" s="23">
        <f t="shared" si="3"/>
        <v>22786.835199275152</v>
      </c>
      <c r="M21" s="23"/>
      <c r="N21" s="19"/>
      <c r="O21" s="19"/>
      <c r="P21" s="19"/>
      <c r="Q21" s="19"/>
      <c r="R21" s="19"/>
      <c r="S21" s="19"/>
      <c r="T21" s="19"/>
      <c r="U21" s="19">
        <f>G21</f>
        <v>22786.835199275152</v>
      </c>
      <c r="V21" s="19">
        <f>MAX(0,MIN($U$21,$F$21-SUM($U$21:U21)))*V3</f>
        <v>22786.835199275152</v>
      </c>
      <c r="W21" s="19">
        <f>MAX(0,MIN($U$21,$F$21-SUM($U$21:V21)))*W3</f>
        <v>22786.835199275152</v>
      </c>
      <c r="X21" s="19">
        <f>MAX(0,MIN($U$21,$F$21-SUM($U$21:W21)))*X3</f>
        <v>0</v>
      </c>
      <c r="Y21" s="19">
        <f>MAX(0,MIN($U$21,$F$21-SUM($U$21:X21)))*Y3</f>
        <v>0</v>
      </c>
      <c r="Z21" s="19">
        <f>MAX(0,MIN($U$21,$F$21-SUM($U$21:Y21)))*Z3</f>
        <v>0</v>
      </c>
      <c r="AA21" s="19">
        <f>MAX(0,MIN($U$21,$F$21-SUM($U$21:Z21)))*AA3</f>
        <v>0</v>
      </c>
      <c r="AB21" s="19">
        <f>MAX(0,MIN($U$21,$F$21-SUM($U$21:AA21)))*AB3</f>
        <v>0</v>
      </c>
      <c r="AC21" s="19">
        <f>MAX(0,MIN($U$21,$F$21-SUM($U$21:AB21)))*AC3</f>
        <v>0</v>
      </c>
      <c r="AD21" s="19">
        <f>MAX(0,MIN($U$21,$F$21-SUM($U$21:AC21)))*AD3</f>
        <v>0</v>
      </c>
      <c r="AE21" s="19">
        <f>MAX(0,MIN($U$21,$F$21-SUM($U$21:AD21)))*AE3</f>
        <v>0</v>
      </c>
      <c r="AF21" s="19">
        <f>MAX(0,MIN($U$21,$F$21-SUM($U$21:AE21)))*AF3</f>
        <v>0</v>
      </c>
      <c r="AG21" s="19">
        <f>MAX(0,MIN($U$21,$F$21-SUM($U$21:AF21)))*AG3</f>
        <v>0</v>
      </c>
      <c r="AH21" s="19">
        <f>MAX(0,MIN($U$21,$F$21-SUM($U$21:AG21)))*AH3</f>
        <v>0</v>
      </c>
    </row>
    <row r="22" spans="4:34" x14ac:dyDescent="0.25">
      <c r="D22">
        <f t="shared" si="4"/>
        <v>2034</v>
      </c>
      <c r="F22" s="23">
        <v>441259.35380250483</v>
      </c>
      <c r="G22" s="23">
        <f t="shared" si="3"/>
        <v>22062.967690125242</v>
      </c>
      <c r="M22" s="23"/>
      <c r="N22" s="19"/>
      <c r="O22" s="19"/>
      <c r="P22" s="19"/>
      <c r="Q22" s="19"/>
      <c r="R22" s="19"/>
      <c r="S22" s="19"/>
      <c r="T22" s="19"/>
      <c r="U22" s="19"/>
      <c r="V22" s="19">
        <f>G22</f>
        <v>22062.967690125242</v>
      </c>
      <c r="W22" s="19">
        <f>MAX(0,MIN($V$22,$F$22-SUM($V$22:V22)))*W3</f>
        <v>22062.967690125242</v>
      </c>
      <c r="X22" s="19">
        <f>MAX(0,MIN($V$22,$F$22-SUM($V$22:W22)))*X3</f>
        <v>0</v>
      </c>
      <c r="Y22" s="19">
        <f>MAX(0,MIN($V$22,$F$22-SUM($V$22:X22)))*Y3</f>
        <v>0</v>
      </c>
      <c r="Z22" s="19">
        <f>MAX(0,MIN($V$22,$F$22-SUM($V$22:Y22)))*Z3</f>
        <v>0</v>
      </c>
      <c r="AA22" s="19">
        <f>MAX(0,MIN($V$22,$F$22-SUM($V$22:Z22)))*AA3</f>
        <v>0</v>
      </c>
      <c r="AB22" s="19">
        <f>MAX(0,MIN($V$22,$F$22-SUM($V$22:AA22)))*AB3</f>
        <v>0</v>
      </c>
      <c r="AC22" s="19">
        <f>MAX(0,MIN($V$22,$F$22-SUM($V$22:AB22)))*AC3</f>
        <v>0</v>
      </c>
      <c r="AD22" s="19">
        <f>MAX(0,MIN($V$22,$F$22-SUM($V$22:AC22)))*AD3</f>
        <v>0</v>
      </c>
      <c r="AE22" s="19">
        <f>MAX(0,MIN($V$22,$F$22-SUM($V$22:AD22)))*AE3</f>
        <v>0</v>
      </c>
      <c r="AF22" s="19">
        <f>MAX(0,MIN($V$22,$F$22-SUM($V$22:AE22)))*AF3</f>
        <v>0</v>
      </c>
      <c r="AG22" s="19">
        <f>MAX(0,MIN($V$22,$F$22-SUM($V$22:AF22)))*AG3</f>
        <v>0</v>
      </c>
      <c r="AH22" s="19">
        <f>MAX(0,MIN($V$22,$F$22-SUM($V$22:AG22)))*AH3</f>
        <v>0</v>
      </c>
    </row>
    <row r="23" spans="4:34" x14ac:dyDescent="0.25">
      <c r="D23">
        <f t="shared" si="4"/>
        <v>2035</v>
      </c>
      <c r="F23" s="23">
        <v>400813.46375200601</v>
      </c>
      <c r="G23" s="23">
        <f t="shared" si="3"/>
        <v>20040.6731876003</v>
      </c>
      <c r="M23" s="23"/>
      <c r="N23" s="19"/>
      <c r="O23" s="19"/>
      <c r="P23" s="19"/>
      <c r="Q23" s="19"/>
      <c r="R23" s="19"/>
      <c r="S23" s="19"/>
      <c r="T23" s="19"/>
      <c r="U23" s="19"/>
      <c r="V23" s="19"/>
      <c r="W23" s="19">
        <f>G23</f>
        <v>20040.6731876003</v>
      </c>
      <c r="X23" s="19">
        <f>MAX(0,MIN($W$23,$F$23-SUM($W$23:W23)))*X3</f>
        <v>0</v>
      </c>
      <c r="Y23" s="19">
        <f>MAX(0,MIN($W$23,$F$23-SUM($W$23:X23)))*Y3</f>
        <v>0</v>
      </c>
      <c r="Z23" s="19">
        <f>MAX(0,MIN($W$23,$F$23-SUM($W$23:Y23)))*Z3</f>
        <v>0</v>
      </c>
      <c r="AA23" s="19">
        <f>MAX(0,MIN($W$23,$F$23-SUM($W$23:Z23)))*AA3</f>
        <v>0</v>
      </c>
      <c r="AB23" s="19">
        <f>MAX(0,MIN($W$23,$F$23-SUM($W$23:AA23)))*AB3</f>
        <v>0</v>
      </c>
      <c r="AC23" s="19">
        <f>MAX(0,MIN($W$23,$F$23-SUM($W$23:AB23)))*AC3</f>
        <v>0</v>
      </c>
      <c r="AD23" s="19">
        <f>MAX(0,MIN($W$23,$F$23-SUM($W$23:AC23)))*AD3</f>
        <v>0</v>
      </c>
      <c r="AE23" s="19">
        <f>MAX(0,MIN($W$23,$F$23-SUM($W$23:AD23)))*AE3</f>
        <v>0</v>
      </c>
      <c r="AF23" s="19">
        <f>MAX(0,MIN($W$23,$F$23-SUM($W$23:AE23)))*AF3</f>
        <v>0</v>
      </c>
      <c r="AG23" s="19">
        <f>MAX(0,MIN($W$23,$F$23-SUM($W$23:AF23)))*AG3</f>
        <v>0</v>
      </c>
      <c r="AH23" s="19">
        <f>MAX(0,MIN($W$23,$F$23-SUM($W$23:AG23)))*AH3</f>
        <v>0</v>
      </c>
    </row>
    <row r="24" spans="4:34" x14ac:dyDescent="0.25">
      <c r="D24" s="114" t="s">
        <v>1824</v>
      </c>
      <c r="E24" s="114"/>
      <c r="F24" s="114"/>
      <c r="G24" s="114"/>
      <c r="H24" s="114"/>
      <c r="I24" s="115">
        <f>SUM(I13:I23)*I3</f>
        <v>0</v>
      </c>
      <c r="J24" s="115">
        <f t="shared" ref="J24:AH24" si="5">SUM(J13:J23)*J3</f>
        <v>0</v>
      </c>
      <c r="K24" s="115">
        <f t="shared" si="5"/>
        <v>0</v>
      </c>
      <c r="L24" s="115">
        <f t="shared" si="5"/>
        <v>0</v>
      </c>
      <c r="M24" s="115">
        <f t="shared" si="5"/>
        <v>0</v>
      </c>
      <c r="N24" s="115">
        <f t="shared" si="5"/>
        <v>244444.33369999999</v>
      </c>
      <c r="O24" s="115">
        <f t="shared" si="5"/>
        <v>270671.86977499997</v>
      </c>
      <c r="P24" s="115">
        <f t="shared" si="5"/>
        <v>296428.11720175995</v>
      </c>
      <c r="Q24" s="115">
        <f t="shared" si="5"/>
        <v>321673.58672596392</v>
      </c>
      <c r="R24" s="115">
        <f t="shared" si="5"/>
        <v>346367.77202979696</v>
      </c>
      <c r="S24" s="115">
        <f t="shared" si="5"/>
        <v>370469.13059552794</v>
      </c>
      <c r="T24" s="115">
        <f t="shared" si="5"/>
        <v>393935.0642606293</v>
      </c>
      <c r="U24" s="115">
        <f t="shared" si="5"/>
        <v>416721.89945990447</v>
      </c>
      <c r="V24" s="115">
        <f t="shared" si="5"/>
        <v>438784.86715002969</v>
      </c>
      <c r="W24" s="115">
        <f>SUM(W13:W23)*W3</f>
        <v>458825.54033762997</v>
      </c>
      <c r="X24" s="115">
        <f t="shared" si="5"/>
        <v>0</v>
      </c>
      <c r="Y24" s="115">
        <f t="shared" si="5"/>
        <v>0</v>
      </c>
      <c r="Z24" s="115">
        <f t="shared" si="5"/>
        <v>0</v>
      </c>
      <c r="AA24" s="115">
        <f t="shared" si="5"/>
        <v>0</v>
      </c>
      <c r="AB24" s="115">
        <f t="shared" si="5"/>
        <v>0</v>
      </c>
      <c r="AC24" s="115">
        <f t="shared" si="5"/>
        <v>0</v>
      </c>
      <c r="AD24" s="115">
        <f t="shared" si="5"/>
        <v>0</v>
      </c>
      <c r="AE24" s="115">
        <f t="shared" si="5"/>
        <v>0</v>
      </c>
      <c r="AF24" s="115">
        <f t="shared" si="5"/>
        <v>0</v>
      </c>
      <c r="AG24" s="115">
        <f t="shared" si="5"/>
        <v>0</v>
      </c>
      <c r="AH24" s="115">
        <f t="shared" si="5"/>
        <v>0</v>
      </c>
    </row>
  </sheetData>
  <conditionalFormatting sqref="I2:AH3">
    <cfRule type="cellIs" dxfId="2" priority="1" operator="equal">
      <formula>"Historical"</formula>
    </cfRule>
    <cfRule type="cellIs" dxfId="1" priority="2" stopIfTrue="1" operator="equal">
      <formula>"TTM"</formula>
    </cfRule>
    <cfRule type="cellIs" dxfId="0" priority="3" operator="equal">
      <formula>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4"/>
  <sheetViews>
    <sheetView workbookViewId="0"/>
  </sheetViews>
  <sheetFormatPr defaultRowHeight="15.75" x14ac:dyDescent="0.25"/>
  <cols>
    <col min="1" max="1" width="24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32</v>
      </c>
      <c r="D2" t="s">
        <v>3</v>
      </c>
      <c r="E2" t="s">
        <v>33</v>
      </c>
      <c r="F2" t="s">
        <v>3</v>
      </c>
      <c r="G2" t="s">
        <v>34</v>
      </c>
    </row>
    <row r="3" spans="1:7" x14ac:dyDescent="0.25">
      <c r="A3" t="s">
        <v>35</v>
      </c>
      <c r="B3" t="s">
        <v>0</v>
      </c>
      <c r="C3" t="s">
        <v>36</v>
      </c>
      <c r="D3" t="s">
        <v>0</v>
      </c>
      <c r="E3" t="s">
        <v>37</v>
      </c>
      <c r="F3" t="s">
        <v>0</v>
      </c>
      <c r="G3" t="s">
        <v>38</v>
      </c>
    </row>
    <row r="4" spans="1:7" x14ac:dyDescent="0.25">
      <c r="A4" t="s">
        <v>39</v>
      </c>
      <c r="B4" t="s">
        <v>3</v>
      </c>
      <c r="C4" t="s">
        <v>40</v>
      </c>
      <c r="D4" t="s">
        <v>3</v>
      </c>
      <c r="E4" t="s">
        <v>41</v>
      </c>
      <c r="F4" t="s">
        <v>3</v>
      </c>
      <c r="G4" t="s">
        <v>42</v>
      </c>
    </row>
  </sheetData>
  <pageMargins left="0.7" right="0.7" top="0.75" bottom="0.75" header="0.3" footer="0.3"/>
  <ignoredErrors>
    <ignoredError sqref="A1:G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4"/>
  <sheetViews>
    <sheetView workbookViewId="0"/>
  </sheetViews>
  <sheetFormatPr defaultRowHeight="15.75" x14ac:dyDescent="0.25"/>
  <cols>
    <col min="1" max="1" width="21.875" customWidth="1"/>
    <col min="2" max="7" width="10.875" customWidth="1"/>
  </cols>
  <sheetData>
    <row r="1" spans="1:7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44</v>
      </c>
      <c r="D2" t="s">
        <v>3</v>
      </c>
      <c r="E2" t="s">
        <v>45</v>
      </c>
      <c r="F2" t="s">
        <v>3</v>
      </c>
      <c r="G2" t="s">
        <v>46</v>
      </c>
    </row>
    <row r="3" spans="1:7" x14ac:dyDescent="0.25">
      <c r="A3" t="s">
        <v>35</v>
      </c>
      <c r="B3" t="s">
        <v>0</v>
      </c>
      <c r="C3" t="s">
        <v>47</v>
      </c>
      <c r="D3" t="s">
        <v>0</v>
      </c>
      <c r="E3" t="s">
        <v>48</v>
      </c>
      <c r="F3" t="s">
        <v>0</v>
      </c>
      <c r="G3" t="s">
        <v>49</v>
      </c>
    </row>
    <row r="4" spans="1:7" x14ac:dyDescent="0.25">
      <c r="A4" t="s">
        <v>50</v>
      </c>
      <c r="B4" t="s">
        <v>3</v>
      </c>
      <c r="C4" t="s">
        <v>51</v>
      </c>
      <c r="D4" t="s">
        <v>3</v>
      </c>
      <c r="E4" t="s">
        <v>52</v>
      </c>
      <c r="F4" t="s">
        <v>3</v>
      </c>
      <c r="G4" t="s">
        <v>53</v>
      </c>
    </row>
  </sheetData>
  <pageMargins left="0.7" right="0.7" top="0.75" bottom="0.75" header="0.3" footer="0.3"/>
  <ignoredErrors>
    <ignoredError sqref="A2:G4 B1:G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E38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3" width="11.875" customWidth="1"/>
    <col min="4" max="4" width="10.875" customWidth="1"/>
    <col min="5" max="5" width="11.875" customWidth="1"/>
  </cols>
  <sheetData>
    <row r="1" spans="1:5" x14ac:dyDescent="0.25">
      <c r="A1" t="s">
        <v>54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t="s">
        <v>55</v>
      </c>
      <c r="B2" t="s">
        <v>0</v>
      </c>
      <c r="C2" t="s">
        <v>0</v>
      </c>
      <c r="D2" t="s">
        <v>0</v>
      </c>
      <c r="E2" t="s">
        <v>0</v>
      </c>
    </row>
    <row r="3" spans="1:5" x14ac:dyDescent="0.25">
      <c r="A3" t="s">
        <v>56</v>
      </c>
      <c r="B3" t="s">
        <v>3</v>
      </c>
      <c r="C3" t="s">
        <v>57</v>
      </c>
      <c r="D3" t="s">
        <v>3</v>
      </c>
      <c r="E3" t="s">
        <v>58</v>
      </c>
    </row>
    <row r="4" spans="1:5" x14ac:dyDescent="0.25">
      <c r="A4" t="s">
        <v>59</v>
      </c>
      <c r="B4" t="s">
        <v>0</v>
      </c>
      <c r="C4" t="s">
        <v>60</v>
      </c>
      <c r="D4" t="s">
        <v>0</v>
      </c>
      <c r="E4" t="s">
        <v>61</v>
      </c>
    </row>
    <row r="5" spans="1:5" x14ac:dyDescent="0.25">
      <c r="A5" t="s">
        <v>62</v>
      </c>
      <c r="B5" t="s">
        <v>0</v>
      </c>
      <c r="C5" t="s">
        <v>63</v>
      </c>
      <c r="D5" t="s">
        <v>0</v>
      </c>
      <c r="E5" t="s">
        <v>64</v>
      </c>
    </row>
    <row r="6" spans="1:5" x14ac:dyDescent="0.25">
      <c r="A6" t="s">
        <v>65</v>
      </c>
      <c r="B6" t="s">
        <v>0</v>
      </c>
      <c r="C6" t="s">
        <v>66</v>
      </c>
      <c r="D6" t="s">
        <v>0</v>
      </c>
      <c r="E6" t="s">
        <v>67</v>
      </c>
    </row>
    <row r="7" spans="1:5" x14ac:dyDescent="0.25">
      <c r="A7" t="s">
        <v>68</v>
      </c>
      <c r="B7" t="s">
        <v>0</v>
      </c>
      <c r="C7" t="s">
        <v>69</v>
      </c>
      <c r="D7" t="s">
        <v>0</v>
      </c>
      <c r="E7" t="s">
        <v>70</v>
      </c>
    </row>
    <row r="8" spans="1:5" x14ac:dyDescent="0.25">
      <c r="A8" t="s">
        <v>71</v>
      </c>
      <c r="B8" t="s">
        <v>0</v>
      </c>
      <c r="C8" t="s">
        <v>72</v>
      </c>
      <c r="D8" t="s">
        <v>0</v>
      </c>
      <c r="E8" t="s">
        <v>73</v>
      </c>
    </row>
    <row r="9" spans="1:5" x14ac:dyDescent="0.25">
      <c r="A9" t="s">
        <v>74</v>
      </c>
      <c r="B9" t="s">
        <v>0</v>
      </c>
      <c r="C9" t="s">
        <v>75</v>
      </c>
      <c r="D9" t="s">
        <v>0</v>
      </c>
      <c r="E9" t="s">
        <v>76</v>
      </c>
    </row>
    <row r="10" spans="1:5" x14ac:dyDescent="0.25">
      <c r="A10" t="s">
        <v>77</v>
      </c>
      <c r="B10" t="s">
        <v>0</v>
      </c>
      <c r="C10" t="s">
        <v>78</v>
      </c>
      <c r="D10" t="s">
        <v>0</v>
      </c>
      <c r="E10" t="s">
        <v>79</v>
      </c>
    </row>
    <row r="11" spans="1:5" x14ac:dyDescent="0.25">
      <c r="A11" t="s">
        <v>80</v>
      </c>
      <c r="B11" t="s">
        <v>0</v>
      </c>
      <c r="C11" t="s">
        <v>81</v>
      </c>
      <c r="D11" t="s">
        <v>0</v>
      </c>
      <c r="E11" t="s">
        <v>82</v>
      </c>
    </row>
    <row r="12" spans="1:5" x14ac:dyDescent="0.25">
      <c r="A12" t="s">
        <v>83</v>
      </c>
      <c r="B12" t="s">
        <v>0</v>
      </c>
      <c r="C12" t="s">
        <v>84</v>
      </c>
      <c r="D12" t="s">
        <v>0</v>
      </c>
      <c r="E12" t="s">
        <v>85</v>
      </c>
    </row>
    <row r="13" spans="1:5" x14ac:dyDescent="0.25">
      <c r="A13" t="s">
        <v>86</v>
      </c>
      <c r="B13" t="s">
        <v>0</v>
      </c>
      <c r="C13" t="s">
        <v>87</v>
      </c>
      <c r="D13" t="s">
        <v>0</v>
      </c>
      <c r="E13" t="s">
        <v>88</v>
      </c>
    </row>
    <row r="14" spans="1:5" x14ac:dyDescent="0.25">
      <c r="A14" t="s">
        <v>89</v>
      </c>
      <c r="B14" t="s">
        <v>0</v>
      </c>
      <c r="C14" t="s">
        <v>90</v>
      </c>
      <c r="D14" t="s">
        <v>0</v>
      </c>
      <c r="E14" t="s">
        <v>91</v>
      </c>
    </row>
    <row r="15" spans="1:5" x14ac:dyDescent="0.25">
      <c r="A15" t="s">
        <v>92</v>
      </c>
      <c r="B15" t="s">
        <v>3</v>
      </c>
      <c r="C15" t="s">
        <v>93</v>
      </c>
      <c r="D15" t="s">
        <v>3</v>
      </c>
      <c r="E15" t="s">
        <v>94</v>
      </c>
    </row>
    <row r="16" spans="1:5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</row>
    <row r="17" spans="1:5" x14ac:dyDescent="0.25">
      <c r="A17" t="s">
        <v>95</v>
      </c>
      <c r="B17" t="s">
        <v>0</v>
      </c>
      <c r="C17" t="s">
        <v>0</v>
      </c>
      <c r="D17" t="s">
        <v>0</v>
      </c>
      <c r="E17" t="s">
        <v>0</v>
      </c>
    </row>
    <row r="18" spans="1:5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</row>
    <row r="19" spans="1:5" x14ac:dyDescent="0.25">
      <c r="A19" t="s">
        <v>97</v>
      </c>
      <c r="B19" t="s">
        <v>3</v>
      </c>
      <c r="C19" t="s">
        <v>98</v>
      </c>
      <c r="D19" t="s">
        <v>3</v>
      </c>
      <c r="E19" t="s">
        <v>99</v>
      </c>
    </row>
    <row r="20" spans="1:5" x14ac:dyDescent="0.25">
      <c r="A20" t="s">
        <v>100</v>
      </c>
      <c r="B20" t="s">
        <v>0</v>
      </c>
      <c r="C20" t="s">
        <v>101</v>
      </c>
      <c r="D20" t="s">
        <v>0</v>
      </c>
      <c r="E20" t="s">
        <v>102</v>
      </c>
    </row>
    <row r="21" spans="1:5" x14ac:dyDescent="0.25">
      <c r="A21" t="s">
        <v>103</v>
      </c>
      <c r="B21" t="s">
        <v>0</v>
      </c>
      <c r="C21" t="s">
        <v>4</v>
      </c>
      <c r="D21" t="s">
        <v>0</v>
      </c>
      <c r="E21" t="s">
        <v>104</v>
      </c>
    </row>
    <row r="22" spans="1:5" x14ac:dyDescent="0.25">
      <c r="A22" t="s">
        <v>105</v>
      </c>
      <c r="B22" t="s">
        <v>0</v>
      </c>
      <c r="C22" t="s">
        <v>106</v>
      </c>
      <c r="D22" t="s">
        <v>0</v>
      </c>
      <c r="E22" t="s">
        <v>107</v>
      </c>
    </row>
    <row r="23" spans="1:5" x14ac:dyDescent="0.25">
      <c r="A23" t="s">
        <v>108</v>
      </c>
      <c r="B23" t="s">
        <v>0</v>
      </c>
      <c r="C23" t="s">
        <v>109</v>
      </c>
      <c r="D23" t="s">
        <v>0</v>
      </c>
      <c r="E23" t="s">
        <v>110</v>
      </c>
    </row>
    <row r="24" spans="1:5" x14ac:dyDescent="0.25">
      <c r="A24" t="s">
        <v>111</v>
      </c>
      <c r="B24" t="s">
        <v>0</v>
      </c>
      <c r="C24" t="s">
        <v>112</v>
      </c>
      <c r="D24" t="s">
        <v>0</v>
      </c>
      <c r="E24" t="s">
        <v>113</v>
      </c>
    </row>
    <row r="25" spans="1:5" x14ac:dyDescent="0.25">
      <c r="A25" t="s">
        <v>103</v>
      </c>
      <c r="B25" t="s">
        <v>0</v>
      </c>
      <c r="C25" t="s">
        <v>114</v>
      </c>
      <c r="D25" t="s">
        <v>0</v>
      </c>
      <c r="E25" t="s">
        <v>115</v>
      </c>
    </row>
    <row r="26" spans="1:5" x14ac:dyDescent="0.25">
      <c r="A26" t="s">
        <v>116</v>
      </c>
      <c r="B26" t="s">
        <v>0</v>
      </c>
      <c r="C26" t="s">
        <v>117</v>
      </c>
      <c r="D26" t="s">
        <v>0</v>
      </c>
      <c r="E26" t="s">
        <v>118</v>
      </c>
    </row>
    <row r="27" spans="1:5" x14ac:dyDescent="0.25">
      <c r="A27" t="s">
        <v>119</v>
      </c>
      <c r="B27" t="s">
        <v>0</v>
      </c>
      <c r="C27" t="s">
        <v>120</v>
      </c>
      <c r="D27" t="s">
        <v>0</v>
      </c>
      <c r="E27" t="s">
        <v>121</v>
      </c>
    </row>
    <row r="28" spans="1:5" x14ac:dyDescent="0.25">
      <c r="A28" t="s">
        <v>122</v>
      </c>
      <c r="B28" t="s">
        <v>0</v>
      </c>
      <c r="C28" t="s">
        <v>123</v>
      </c>
      <c r="D28" t="s">
        <v>0</v>
      </c>
      <c r="E28" t="s">
        <v>124</v>
      </c>
    </row>
    <row r="29" spans="1:5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</row>
    <row r="30" spans="1:5" x14ac:dyDescent="0.25">
      <c r="A30" t="s">
        <v>125</v>
      </c>
      <c r="B30" t="s">
        <v>0</v>
      </c>
      <c r="C30" t="s">
        <v>0</v>
      </c>
      <c r="D30" t="s">
        <v>0</v>
      </c>
      <c r="E30" t="s">
        <v>0</v>
      </c>
    </row>
    <row r="31" spans="1:5" x14ac:dyDescent="0.25">
      <c r="A31" t="s">
        <v>126</v>
      </c>
      <c r="B31" t="s">
        <v>0</v>
      </c>
      <c r="C31" t="s">
        <v>0</v>
      </c>
      <c r="D31" t="s">
        <v>0</v>
      </c>
      <c r="E31" t="s">
        <v>0</v>
      </c>
    </row>
    <row r="32" spans="1:5" x14ac:dyDescent="0.25">
      <c r="A32" t="s">
        <v>127</v>
      </c>
      <c r="B32" t="s">
        <v>0</v>
      </c>
      <c r="C32" t="s">
        <v>4</v>
      </c>
      <c r="D32" t="s">
        <v>0</v>
      </c>
      <c r="E32" t="s">
        <v>4</v>
      </c>
    </row>
    <row r="33" spans="1:5" x14ac:dyDescent="0.25">
      <c r="A33" t="s">
        <v>128</v>
      </c>
      <c r="B33" t="s">
        <v>0</v>
      </c>
      <c r="C33" t="s">
        <v>129</v>
      </c>
      <c r="D33" t="s">
        <v>0</v>
      </c>
      <c r="E33" t="s">
        <v>129</v>
      </c>
    </row>
    <row r="34" spans="1:5" x14ac:dyDescent="0.25">
      <c r="A34" t="s">
        <v>130</v>
      </c>
      <c r="B34" t="s">
        <v>0</v>
      </c>
      <c r="C34" t="s">
        <v>131</v>
      </c>
      <c r="D34" t="s">
        <v>0</v>
      </c>
      <c r="E34" t="s">
        <v>132</v>
      </c>
    </row>
    <row r="35" spans="1:5" x14ac:dyDescent="0.25">
      <c r="A35" t="s">
        <v>133</v>
      </c>
      <c r="B35" t="s">
        <v>0</v>
      </c>
      <c r="C35" t="s">
        <v>134</v>
      </c>
      <c r="D35" t="s">
        <v>0</v>
      </c>
      <c r="E35" t="s">
        <v>135</v>
      </c>
    </row>
    <row r="36" spans="1:5" x14ac:dyDescent="0.25">
      <c r="A36" t="s">
        <v>136</v>
      </c>
      <c r="B36" t="s">
        <v>0</v>
      </c>
      <c r="C36" t="s">
        <v>137</v>
      </c>
      <c r="D36" t="s">
        <v>0</v>
      </c>
      <c r="E36" t="s">
        <v>138</v>
      </c>
    </row>
    <row r="37" spans="1:5" x14ac:dyDescent="0.25">
      <c r="A37" t="s">
        <v>139</v>
      </c>
      <c r="B37" t="s">
        <v>0</v>
      </c>
      <c r="C37" t="s">
        <v>140</v>
      </c>
      <c r="D37" t="s">
        <v>0</v>
      </c>
      <c r="E37" t="s">
        <v>141</v>
      </c>
    </row>
    <row r="38" spans="1:5" x14ac:dyDescent="0.25">
      <c r="A38" t="s">
        <v>142</v>
      </c>
      <c r="B38" t="s">
        <v>3</v>
      </c>
      <c r="C38" t="s">
        <v>93</v>
      </c>
      <c r="D38" t="s">
        <v>3</v>
      </c>
      <c r="E38" t="s">
        <v>94</v>
      </c>
    </row>
  </sheetData>
  <pageMargins left="0.7" right="0.7" top="0.75" bottom="0.75" header="0.3" footer="0.3"/>
  <ignoredErrors>
    <ignoredError sqref="A1:E3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0" tint="-0.499984740745262"/>
  </sheetPr>
  <dimension ref="A1:G24"/>
  <sheetViews>
    <sheetView workbookViewId="0">
      <selection activeCell="E27" sqref="E27"/>
    </sheetView>
  </sheetViews>
  <sheetFormatPr defaultRowHeight="15.75" x14ac:dyDescent="0.25"/>
  <cols>
    <col min="1" max="1" width="52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31</v>
      </c>
      <c r="B2" t="s">
        <v>3</v>
      </c>
      <c r="C2" t="s">
        <v>40</v>
      </c>
      <c r="D2" t="s">
        <v>3</v>
      </c>
      <c r="E2" t="s">
        <v>41</v>
      </c>
      <c r="F2" t="s">
        <v>3</v>
      </c>
      <c r="G2" t="s">
        <v>42</v>
      </c>
    </row>
    <row r="3" spans="1:7" x14ac:dyDescent="0.25">
      <c r="A3" t="s">
        <v>43</v>
      </c>
      <c r="B3" t="s">
        <v>0</v>
      </c>
      <c r="C3" t="s">
        <v>51</v>
      </c>
      <c r="D3" t="s">
        <v>0</v>
      </c>
      <c r="E3" t="s">
        <v>52</v>
      </c>
      <c r="F3" t="s">
        <v>0</v>
      </c>
      <c r="G3" t="s">
        <v>53</v>
      </c>
    </row>
    <row r="4" spans="1:7" x14ac:dyDescent="0.25">
      <c r="A4" t="s">
        <v>144</v>
      </c>
      <c r="B4" t="s">
        <v>0</v>
      </c>
      <c r="C4" t="s">
        <v>145</v>
      </c>
      <c r="D4" t="s">
        <v>0</v>
      </c>
      <c r="E4" t="s">
        <v>146</v>
      </c>
      <c r="F4" t="s">
        <v>0</v>
      </c>
      <c r="G4" t="s">
        <v>147</v>
      </c>
    </row>
    <row r="5" spans="1:7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 x14ac:dyDescent="0.25">
      <c r="A6" t="s">
        <v>149</v>
      </c>
      <c r="B6" t="s">
        <v>0</v>
      </c>
      <c r="C6" t="s">
        <v>150</v>
      </c>
      <c r="D6" t="s">
        <v>0</v>
      </c>
      <c r="E6" t="s">
        <v>151</v>
      </c>
      <c r="F6" t="s">
        <v>0</v>
      </c>
      <c r="G6" t="s">
        <v>152</v>
      </c>
    </row>
    <row r="7" spans="1:7" x14ac:dyDescent="0.25">
      <c r="A7" t="s">
        <v>153</v>
      </c>
      <c r="B7" t="s">
        <v>0</v>
      </c>
      <c r="C7" t="s">
        <v>154</v>
      </c>
      <c r="D7" t="s">
        <v>0</v>
      </c>
      <c r="E7" t="s">
        <v>155</v>
      </c>
      <c r="F7" t="s">
        <v>0</v>
      </c>
      <c r="G7" t="s">
        <v>156</v>
      </c>
    </row>
    <row r="8" spans="1:7" x14ac:dyDescent="0.25">
      <c r="A8" t="s">
        <v>157</v>
      </c>
      <c r="B8" t="s">
        <v>0</v>
      </c>
      <c r="C8" t="s">
        <v>158</v>
      </c>
      <c r="D8" t="s">
        <v>0</v>
      </c>
      <c r="E8" t="s">
        <v>159</v>
      </c>
      <c r="F8" t="s">
        <v>0</v>
      </c>
      <c r="G8" t="s">
        <v>160</v>
      </c>
    </row>
    <row r="9" spans="1:7" x14ac:dyDescent="0.25">
      <c r="A9" t="s">
        <v>161</v>
      </c>
      <c r="B9" t="s">
        <v>0</v>
      </c>
      <c r="C9" t="s">
        <v>162</v>
      </c>
      <c r="D9" t="s">
        <v>0</v>
      </c>
      <c r="E9" t="s">
        <v>163</v>
      </c>
      <c r="F9" t="s">
        <v>0</v>
      </c>
      <c r="G9" t="s">
        <v>164</v>
      </c>
    </row>
    <row r="10" spans="1:7" x14ac:dyDescent="0.25">
      <c r="A10" t="s">
        <v>165</v>
      </c>
      <c r="B10" t="s">
        <v>0</v>
      </c>
      <c r="C10" t="s">
        <v>166</v>
      </c>
      <c r="D10" t="s">
        <v>0</v>
      </c>
      <c r="E10" t="s">
        <v>167</v>
      </c>
      <c r="F10" t="s">
        <v>0</v>
      </c>
      <c r="G10" t="s">
        <v>168</v>
      </c>
    </row>
    <row r="11" spans="1:7" x14ac:dyDescent="0.25">
      <c r="A11" t="s">
        <v>169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170</v>
      </c>
      <c r="B12" t="s">
        <v>0</v>
      </c>
      <c r="C12" t="s">
        <v>171</v>
      </c>
      <c r="D12" t="s">
        <v>0</v>
      </c>
      <c r="E12" t="s">
        <v>172</v>
      </c>
      <c r="F12" t="s">
        <v>0</v>
      </c>
      <c r="G12" t="s">
        <v>173</v>
      </c>
    </row>
    <row r="13" spans="1:7" x14ac:dyDescent="0.25">
      <c r="A13" t="s">
        <v>174</v>
      </c>
      <c r="B13" t="s">
        <v>0</v>
      </c>
      <c r="C13" t="s">
        <v>175</v>
      </c>
      <c r="D13" t="s">
        <v>0</v>
      </c>
      <c r="E13" t="s">
        <v>4</v>
      </c>
      <c r="F13" t="s">
        <v>0</v>
      </c>
      <c r="G13" t="s">
        <v>4</v>
      </c>
    </row>
    <row r="14" spans="1:7" x14ac:dyDescent="0.25">
      <c r="A14" t="s">
        <v>176</v>
      </c>
      <c r="B14" t="s">
        <v>0</v>
      </c>
      <c r="C14" t="s">
        <v>177</v>
      </c>
      <c r="D14" t="s">
        <v>0</v>
      </c>
      <c r="E14" t="s">
        <v>178</v>
      </c>
      <c r="F14" t="s">
        <v>0</v>
      </c>
      <c r="G14" t="s">
        <v>179</v>
      </c>
    </row>
    <row r="15" spans="1:7" x14ac:dyDescent="0.25">
      <c r="A15" t="s">
        <v>180</v>
      </c>
      <c r="B15" t="s">
        <v>0</v>
      </c>
      <c r="C15" t="s">
        <v>8</v>
      </c>
      <c r="D15" t="s">
        <v>0</v>
      </c>
      <c r="E15" t="s">
        <v>181</v>
      </c>
      <c r="F15" t="s">
        <v>0</v>
      </c>
      <c r="G15" t="s">
        <v>10</v>
      </c>
    </row>
    <row r="16" spans="1:7" x14ac:dyDescent="0.25">
      <c r="A16" t="s">
        <v>182</v>
      </c>
      <c r="B16" t="s">
        <v>0</v>
      </c>
      <c r="C16" t="s">
        <v>183</v>
      </c>
      <c r="D16" t="s">
        <v>0</v>
      </c>
      <c r="E16" t="s">
        <v>184</v>
      </c>
      <c r="F16" t="s">
        <v>0</v>
      </c>
      <c r="G16" t="s">
        <v>185</v>
      </c>
    </row>
    <row r="17" spans="1:7" x14ac:dyDescent="0.25">
      <c r="A17" t="s">
        <v>186</v>
      </c>
      <c r="B17" t="s">
        <v>0</v>
      </c>
      <c r="C17" t="s">
        <v>13</v>
      </c>
      <c r="D17" t="s">
        <v>0</v>
      </c>
      <c r="E17" t="s">
        <v>14</v>
      </c>
      <c r="F17" t="s">
        <v>0</v>
      </c>
      <c r="G17" t="s">
        <v>15</v>
      </c>
    </row>
    <row r="18" spans="1:7" x14ac:dyDescent="0.25">
      <c r="A18" t="s">
        <v>187</v>
      </c>
      <c r="B18" t="s">
        <v>3</v>
      </c>
      <c r="C18" t="s">
        <v>188</v>
      </c>
      <c r="D18" t="s">
        <v>3</v>
      </c>
      <c r="E18" t="s">
        <v>189</v>
      </c>
      <c r="F18" t="s">
        <v>3</v>
      </c>
      <c r="G18" t="s">
        <v>190</v>
      </c>
    </row>
    <row r="19" spans="1:7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</row>
    <row r="20" spans="1:7" x14ac:dyDescent="0.25">
      <c r="A20" t="s">
        <v>191</v>
      </c>
      <c r="B20" t="s">
        <v>3</v>
      </c>
      <c r="C20" t="s">
        <v>192</v>
      </c>
      <c r="D20" t="s">
        <v>3</v>
      </c>
      <c r="E20" t="s">
        <v>193</v>
      </c>
      <c r="F20" t="s">
        <v>3</v>
      </c>
      <c r="G20" t="s">
        <v>194</v>
      </c>
    </row>
    <row r="21" spans="1:7" x14ac:dyDescent="0.25">
      <c r="A21" t="s">
        <v>195</v>
      </c>
      <c r="B21" t="s">
        <v>0</v>
      </c>
      <c r="C21" t="s">
        <v>196</v>
      </c>
      <c r="D21" t="s">
        <v>0</v>
      </c>
      <c r="E21" t="s">
        <v>197</v>
      </c>
      <c r="F21" t="s">
        <v>0</v>
      </c>
      <c r="G21" t="s">
        <v>198</v>
      </c>
    </row>
    <row r="22" spans="1:7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</row>
    <row r="23" spans="1:7" x14ac:dyDescent="0.25">
      <c r="A23" t="s">
        <v>199</v>
      </c>
      <c r="B23" t="s">
        <v>3</v>
      </c>
      <c r="C23" t="s">
        <v>200</v>
      </c>
      <c r="D23" t="s">
        <v>3</v>
      </c>
      <c r="E23" t="s">
        <v>201</v>
      </c>
      <c r="F23" t="s">
        <v>3</v>
      </c>
      <c r="G23" t="s">
        <v>202</v>
      </c>
    </row>
    <row r="24" spans="1:7" x14ac:dyDescent="0.25">
      <c r="A24" t="s">
        <v>203</v>
      </c>
      <c r="B24" t="s">
        <v>0</v>
      </c>
      <c r="C24" t="s">
        <v>204</v>
      </c>
      <c r="D24" t="s">
        <v>0</v>
      </c>
      <c r="E24" t="s">
        <v>205</v>
      </c>
      <c r="F24" t="s">
        <v>0</v>
      </c>
      <c r="G24" t="s">
        <v>206</v>
      </c>
    </row>
  </sheetData>
  <pageMargins left="0.7" right="0.7" top="0.75" bottom="0.75" header="0.3" footer="0.3"/>
  <ignoredErrors>
    <ignoredError sqref="A1:G2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G45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3" width="11.875" customWidth="1"/>
    <col min="4" max="4" width="10.875" customWidth="1"/>
    <col min="5" max="5" width="12.875" customWidth="1"/>
    <col min="6" max="6" width="10.875" customWidth="1"/>
    <col min="7" max="7" width="11.875" customWidth="1"/>
  </cols>
  <sheetData>
    <row r="1" spans="1:7" x14ac:dyDescent="0.25">
      <c r="A1" t="s">
        <v>216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187</v>
      </c>
      <c r="B2" t="s">
        <v>3</v>
      </c>
      <c r="C2" t="s">
        <v>188</v>
      </c>
      <c r="D2" t="s">
        <v>3</v>
      </c>
      <c r="E2" t="s">
        <v>189</v>
      </c>
      <c r="F2" t="s">
        <v>3</v>
      </c>
      <c r="G2" t="s">
        <v>190</v>
      </c>
    </row>
    <row r="3" spans="1:7" x14ac:dyDescent="0.25">
      <c r="A3" t="s">
        <v>217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</row>
    <row r="4" spans="1:7" x14ac:dyDescent="0.25">
      <c r="A4" t="s">
        <v>218</v>
      </c>
      <c r="B4" t="s">
        <v>0</v>
      </c>
      <c r="C4" t="s">
        <v>219</v>
      </c>
      <c r="D4" t="s">
        <v>0</v>
      </c>
      <c r="E4" t="s">
        <v>220</v>
      </c>
      <c r="F4" t="s">
        <v>0</v>
      </c>
      <c r="G4" t="s">
        <v>221</v>
      </c>
    </row>
    <row r="5" spans="1:7" x14ac:dyDescent="0.25">
      <c r="A5" t="s">
        <v>222</v>
      </c>
      <c r="B5" t="s">
        <v>0</v>
      </c>
      <c r="C5" t="s">
        <v>223</v>
      </c>
      <c r="D5" t="s">
        <v>0</v>
      </c>
      <c r="E5" t="s">
        <v>224</v>
      </c>
      <c r="F5" t="s">
        <v>0</v>
      </c>
      <c r="G5" t="s">
        <v>225</v>
      </c>
    </row>
    <row r="6" spans="1:7" x14ac:dyDescent="0.25">
      <c r="A6" t="s">
        <v>226</v>
      </c>
      <c r="B6" t="s">
        <v>0</v>
      </c>
      <c r="C6" t="s">
        <v>227</v>
      </c>
      <c r="D6" t="s">
        <v>0</v>
      </c>
      <c r="E6" t="s">
        <v>228</v>
      </c>
      <c r="F6" t="s">
        <v>0</v>
      </c>
      <c r="G6" t="s">
        <v>229</v>
      </c>
    </row>
    <row r="7" spans="1:7" x14ac:dyDescent="0.25">
      <c r="A7" t="s">
        <v>230</v>
      </c>
      <c r="B7" t="s">
        <v>0</v>
      </c>
      <c r="C7" t="s">
        <v>214</v>
      </c>
      <c r="D7" t="s">
        <v>0</v>
      </c>
      <c r="E7" t="s">
        <v>23</v>
      </c>
      <c r="F7" t="s">
        <v>0</v>
      </c>
      <c r="G7" t="s">
        <v>207</v>
      </c>
    </row>
    <row r="8" spans="1:7" x14ac:dyDescent="0.25">
      <c r="A8" t="s">
        <v>231</v>
      </c>
      <c r="B8" t="s">
        <v>0</v>
      </c>
      <c r="C8" t="s">
        <v>232</v>
      </c>
      <c r="D8" t="s">
        <v>0</v>
      </c>
      <c r="E8" t="s">
        <v>233</v>
      </c>
      <c r="F8" t="s">
        <v>0</v>
      </c>
      <c r="G8" t="s">
        <v>234</v>
      </c>
    </row>
    <row r="9" spans="1:7" x14ac:dyDescent="0.25">
      <c r="A9" t="s">
        <v>174</v>
      </c>
      <c r="B9" t="s">
        <v>0</v>
      </c>
      <c r="C9" t="s">
        <v>235</v>
      </c>
      <c r="D9" t="s">
        <v>0</v>
      </c>
      <c r="E9" t="s">
        <v>4</v>
      </c>
      <c r="F9" t="s">
        <v>0</v>
      </c>
      <c r="G9" t="s">
        <v>4</v>
      </c>
    </row>
    <row r="10" spans="1:7" x14ac:dyDescent="0.25">
      <c r="A10" t="s">
        <v>111</v>
      </c>
      <c r="B10" t="s">
        <v>0</v>
      </c>
      <c r="C10" t="s">
        <v>236</v>
      </c>
      <c r="D10" t="s">
        <v>0</v>
      </c>
      <c r="E10" t="s">
        <v>237</v>
      </c>
      <c r="F10" t="s">
        <v>0</v>
      </c>
      <c r="G10" t="s">
        <v>238</v>
      </c>
    </row>
    <row r="11" spans="1:7" x14ac:dyDescent="0.25">
      <c r="A11" t="s">
        <v>239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240</v>
      </c>
      <c r="B12" t="s">
        <v>0</v>
      </c>
      <c r="C12" t="s">
        <v>241</v>
      </c>
      <c r="D12" t="s">
        <v>0</v>
      </c>
      <c r="E12" t="s">
        <v>242</v>
      </c>
      <c r="F12" t="s">
        <v>0</v>
      </c>
      <c r="G12" t="s">
        <v>243</v>
      </c>
    </row>
    <row r="13" spans="1:7" x14ac:dyDescent="0.25">
      <c r="A13" t="s">
        <v>62</v>
      </c>
      <c r="B13" t="s">
        <v>0</v>
      </c>
      <c r="C13" t="s">
        <v>244</v>
      </c>
      <c r="D13" t="s">
        <v>0</v>
      </c>
      <c r="E13" t="s">
        <v>245</v>
      </c>
      <c r="F13" t="s">
        <v>0</v>
      </c>
      <c r="G13" t="s">
        <v>246</v>
      </c>
    </row>
    <row r="14" spans="1:7" x14ac:dyDescent="0.25">
      <c r="A14" t="s">
        <v>65</v>
      </c>
      <c r="B14" t="s">
        <v>0</v>
      </c>
      <c r="C14" t="s">
        <v>247</v>
      </c>
      <c r="D14" t="s">
        <v>0</v>
      </c>
      <c r="E14" t="s">
        <v>248</v>
      </c>
      <c r="F14" t="s">
        <v>0</v>
      </c>
      <c r="G14" t="s">
        <v>249</v>
      </c>
    </row>
    <row r="15" spans="1:7" x14ac:dyDescent="0.25">
      <c r="A15" t="s">
        <v>250</v>
      </c>
      <c r="B15" t="s">
        <v>0</v>
      </c>
      <c r="C15" t="s">
        <v>251</v>
      </c>
      <c r="D15" t="s">
        <v>0</v>
      </c>
      <c r="E15" t="s">
        <v>252</v>
      </c>
      <c r="F15" t="s">
        <v>0</v>
      </c>
      <c r="G15" t="s">
        <v>253</v>
      </c>
    </row>
    <row r="16" spans="1:7" x14ac:dyDescent="0.25">
      <c r="A16" t="s">
        <v>254</v>
      </c>
      <c r="B16" t="s">
        <v>0</v>
      </c>
      <c r="C16" t="s">
        <v>255</v>
      </c>
      <c r="D16" t="s">
        <v>0</v>
      </c>
      <c r="E16" t="s">
        <v>256</v>
      </c>
      <c r="F16" t="s">
        <v>0</v>
      </c>
      <c r="G16" t="s">
        <v>257</v>
      </c>
    </row>
    <row r="17" spans="1:7" x14ac:dyDescent="0.25">
      <c r="A17" t="s">
        <v>97</v>
      </c>
      <c r="B17" t="s">
        <v>0</v>
      </c>
      <c r="C17" t="s">
        <v>258</v>
      </c>
      <c r="D17" t="s">
        <v>0</v>
      </c>
      <c r="E17" t="s">
        <v>259</v>
      </c>
      <c r="F17" t="s">
        <v>0</v>
      </c>
      <c r="G17" t="s">
        <v>260</v>
      </c>
    </row>
    <row r="18" spans="1:7" x14ac:dyDescent="0.25">
      <c r="A18" t="s">
        <v>100</v>
      </c>
      <c r="B18" t="s">
        <v>0</v>
      </c>
      <c r="C18" t="s">
        <v>261</v>
      </c>
      <c r="D18" t="s">
        <v>0</v>
      </c>
      <c r="E18" t="s">
        <v>262</v>
      </c>
      <c r="F18" t="s">
        <v>0</v>
      </c>
      <c r="G18" t="s">
        <v>263</v>
      </c>
    </row>
    <row r="19" spans="1:7" x14ac:dyDescent="0.25">
      <c r="A19" t="s">
        <v>68</v>
      </c>
      <c r="B19" t="s">
        <v>0</v>
      </c>
      <c r="C19" t="s">
        <v>264</v>
      </c>
      <c r="D19" t="s">
        <v>0</v>
      </c>
      <c r="E19" t="s">
        <v>265</v>
      </c>
      <c r="F19" t="s">
        <v>0</v>
      </c>
      <c r="G19" t="s">
        <v>266</v>
      </c>
    </row>
    <row r="20" spans="1:7" x14ac:dyDescent="0.25">
      <c r="A20" t="s">
        <v>103</v>
      </c>
      <c r="B20" t="s">
        <v>0</v>
      </c>
      <c r="C20" t="s">
        <v>267</v>
      </c>
      <c r="D20" t="s">
        <v>0</v>
      </c>
      <c r="E20" t="s">
        <v>268</v>
      </c>
      <c r="F20" t="s">
        <v>0</v>
      </c>
      <c r="G20" t="s">
        <v>269</v>
      </c>
    </row>
    <row r="21" spans="1:7" x14ac:dyDescent="0.25">
      <c r="A21" t="s">
        <v>270</v>
      </c>
      <c r="B21" t="s">
        <v>0</v>
      </c>
      <c r="C21" t="s">
        <v>4</v>
      </c>
      <c r="D21" t="s">
        <v>0</v>
      </c>
      <c r="E21" t="s">
        <v>4</v>
      </c>
      <c r="F21" t="s">
        <v>0</v>
      </c>
      <c r="G21" t="s">
        <v>271</v>
      </c>
    </row>
    <row r="22" spans="1:7" x14ac:dyDescent="0.25">
      <c r="A22" t="s">
        <v>272</v>
      </c>
      <c r="B22" t="s">
        <v>0</v>
      </c>
      <c r="C22" t="s">
        <v>16</v>
      </c>
      <c r="D22" t="s">
        <v>0</v>
      </c>
      <c r="E22" t="s">
        <v>17</v>
      </c>
      <c r="F22" t="s">
        <v>0</v>
      </c>
      <c r="G22" t="s">
        <v>18</v>
      </c>
    </row>
    <row r="23" spans="1:7" x14ac:dyDescent="0.25">
      <c r="A23" t="s">
        <v>273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</row>
    <row r="24" spans="1:7" x14ac:dyDescent="0.25">
      <c r="A24" t="s">
        <v>274</v>
      </c>
      <c r="B24" t="s">
        <v>0</v>
      </c>
      <c r="C24" t="s">
        <v>25</v>
      </c>
      <c r="D24" t="s">
        <v>0</v>
      </c>
      <c r="E24" t="s">
        <v>275</v>
      </c>
      <c r="F24" t="s">
        <v>0</v>
      </c>
      <c r="G24" t="s">
        <v>27</v>
      </c>
    </row>
    <row r="25" spans="1:7" x14ac:dyDescent="0.25">
      <c r="A25" t="s">
        <v>276</v>
      </c>
      <c r="B25" t="s">
        <v>0</v>
      </c>
      <c r="C25" t="s">
        <v>28</v>
      </c>
      <c r="D25" t="s">
        <v>0</v>
      </c>
      <c r="E25" t="s">
        <v>29</v>
      </c>
      <c r="F25" t="s">
        <v>0</v>
      </c>
      <c r="G25" t="s">
        <v>30</v>
      </c>
    </row>
    <row r="26" spans="1:7" x14ac:dyDescent="0.25">
      <c r="A26" t="s">
        <v>277</v>
      </c>
      <c r="B26" t="s">
        <v>0</v>
      </c>
      <c r="C26" t="s">
        <v>278</v>
      </c>
      <c r="D26" t="s">
        <v>0</v>
      </c>
      <c r="E26" t="s">
        <v>279</v>
      </c>
      <c r="F26" t="s">
        <v>0</v>
      </c>
      <c r="G26" t="s">
        <v>280</v>
      </c>
    </row>
    <row r="27" spans="1:7" x14ac:dyDescent="0.25">
      <c r="A27" t="s">
        <v>281</v>
      </c>
      <c r="B27" t="s">
        <v>0</v>
      </c>
      <c r="C27" t="s">
        <v>282</v>
      </c>
      <c r="D27" t="s">
        <v>0</v>
      </c>
      <c r="E27" t="s">
        <v>4</v>
      </c>
      <c r="F27" t="s">
        <v>0</v>
      </c>
      <c r="G27" t="s">
        <v>4</v>
      </c>
    </row>
    <row r="28" spans="1:7" x14ac:dyDescent="0.25">
      <c r="A28" t="s">
        <v>283</v>
      </c>
      <c r="B28" t="s">
        <v>0</v>
      </c>
      <c r="C28" t="s">
        <v>284</v>
      </c>
      <c r="D28" t="s">
        <v>0</v>
      </c>
      <c r="E28" t="s">
        <v>4</v>
      </c>
      <c r="F28" t="s">
        <v>0</v>
      </c>
      <c r="G28" t="s">
        <v>4</v>
      </c>
    </row>
    <row r="29" spans="1:7" x14ac:dyDescent="0.25">
      <c r="A29" t="s">
        <v>285</v>
      </c>
      <c r="B29" t="s">
        <v>0</v>
      </c>
      <c r="C29" t="s">
        <v>286</v>
      </c>
      <c r="D29" t="s">
        <v>0</v>
      </c>
      <c r="E29" t="s">
        <v>4</v>
      </c>
      <c r="F29" t="s">
        <v>0</v>
      </c>
      <c r="G29" t="s">
        <v>4</v>
      </c>
    </row>
    <row r="30" spans="1:7" x14ac:dyDescent="0.25">
      <c r="A30" t="s">
        <v>287</v>
      </c>
      <c r="B30" t="s">
        <v>0</v>
      </c>
      <c r="C30" t="s">
        <v>19</v>
      </c>
      <c r="D30" t="s">
        <v>0</v>
      </c>
      <c r="E30" t="s">
        <v>20</v>
      </c>
      <c r="F30" t="s">
        <v>0</v>
      </c>
      <c r="G30" t="s">
        <v>21</v>
      </c>
    </row>
    <row r="31" spans="1:7" x14ac:dyDescent="0.25">
      <c r="A31" t="s">
        <v>288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</row>
    <row r="32" spans="1:7" x14ac:dyDescent="0.25">
      <c r="A32" t="s">
        <v>289</v>
      </c>
      <c r="B32" t="s">
        <v>0</v>
      </c>
      <c r="C32" t="s">
        <v>212</v>
      </c>
      <c r="D32" t="s">
        <v>0</v>
      </c>
      <c r="E32" t="s">
        <v>209</v>
      </c>
      <c r="F32" t="s">
        <v>0</v>
      </c>
      <c r="G32" t="s">
        <v>290</v>
      </c>
    </row>
    <row r="33" spans="1:7" x14ac:dyDescent="0.25">
      <c r="A33" t="s">
        <v>291</v>
      </c>
      <c r="B33" t="s">
        <v>0</v>
      </c>
      <c r="C33" t="s">
        <v>215</v>
      </c>
      <c r="D33" t="s">
        <v>0</v>
      </c>
      <c r="E33" t="s">
        <v>211</v>
      </c>
      <c r="F33" t="s">
        <v>0</v>
      </c>
      <c r="G33" t="s">
        <v>208</v>
      </c>
    </row>
    <row r="34" spans="1:7" x14ac:dyDescent="0.25">
      <c r="A34" t="s">
        <v>292</v>
      </c>
      <c r="B34" t="s">
        <v>0</v>
      </c>
      <c r="C34" t="s">
        <v>213</v>
      </c>
      <c r="D34" t="s">
        <v>0</v>
      </c>
      <c r="E34" t="s">
        <v>210</v>
      </c>
      <c r="F34" t="s">
        <v>0</v>
      </c>
      <c r="G34" t="s">
        <v>293</v>
      </c>
    </row>
    <row r="35" spans="1:7" x14ac:dyDescent="0.25">
      <c r="A35" t="s">
        <v>294</v>
      </c>
      <c r="B35" t="s">
        <v>0</v>
      </c>
      <c r="C35" t="s">
        <v>295</v>
      </c>
      <c r="D35" t="s">
        <v>0</v>
      </c>
      <c r="E35" t="s">
        <v>4</v>
      </c>
      <c r="F35" t="s">
        <v>0</v>
      </c>
      <c r="G35" t="s">
        <v>296</v>
      </c>
    </row>
    <row r="36" spans="1:7" x14ac:dyDescent="0.25">
      <c r="A36" t="s">
        <v>297</v>
      </c>
      <c r="B36" t="s">
        <v>0</v>
      </c>
      <c r="C36" t="s">
        <v>298</v>
      </c>
      <c r="D36" t="s">
        <v>0</v>
      </c>
      <c r="E36" t="s">
        <v>4</v>
      </c>
      <c r="F36" t="s">
        <v>0</v>
      </c>
      <c r="G36" t="s">
        <v>4</v>
      </c>
    </row>
    <row r="37" spans="1:7" x14ac:dyDescent="0.25">
      <c r="A37" t="s">
        <v>299</v>
      </c>
      <c r="B37" t="s">
        <v>0</v>
      </c>
      <c r="C37" t="s">
        <v>300</v>
      </c>
      <c r="D37" t="s">
        <v>0</v>
      </c>
      <c r="E37" t="s">
        <v>301</v>
      </c>
      <c r="F37" t="s">
        <v>0</v>
      </c>
      <c r="G37" t="s">
        <v>302</v>
      </c>
    </row>
    <row r="38" spans="1:7" x14ac:dyDescent="0.25">
      <c r="A38" t="s">
        <v>303</v>
      </c>
      <c r="B38" t="s">
        <v>0</v>
      </c>
      <c r="C38" t="s">
        <v>22</v>
      </c>
      <c r="D38" t="s">
        <v>0</v>
      </c>
      <c r="E38" t="s">
        <v>23</v>
      </c>
      <c r="F38" t="s">
        <v>0</v>
      </c>
      <c r="G38" t="s">
        <v>24</v>
      </c>
    </row>
    <row r="39" spans="1:7" x14ac:dyDescent="0.25">
      <c r="A39" t="s">
        <v>304</v>
      </c>
      <c r="B39" t="s">
        <v>0</v>
      </c>
      <c r="C39" t="s">
        <v>305</v>
      </c>
      <c r="D39" t="s">
        <v>0</v>
      </c>
      <c r="E39" t="s">
        <v>306</v>
      </c>
      <c r="F39" t="s">
        <v>0</v>
      </c>
      <c r="G39" t="s">
        <v>307</v>
      </c>
    </row>
    <row r="40" spans="1:7" x14ac:dyDescent="0.25">
      <c r="A40" t="s">
        <v>308</v>
      </c>
      <c r="B40" t="s">
        <v>0</v>
      </c>
      <c r="C40" t="s">
        <v>309</v>
      </c>
      <c r="D40" t="s">
        <v>0</v>
      </c>
      <c r="E40" t="s">
        <v>310</v>
      </c>
      <c r="F40" t="s">
        <v>0</v>
      </c>
      <c r="G40" t="s">
        <v>311</v>
      </c>
    </row>
    <row r="41" spans="1:7" x14ac:dyDescent="0.25">
      <c r="A41" t="s">
        <v>312</v>
      </c>
      <c r="B41" t="s">
        <v>0</v>
      </c>
      <c r="C41" t="s">
        <v>58</v>
      </c>
      <c r="D41" t="s">
        <v>0</v>
      </c>
      <c r="E41" t="s">
        <v>313</v>
      </c>
      <c r="F41" t="s">
        <v>0</v>
      </c>
      <c r="G41" t="s">
        <v>314</v>
      </c>
    </row>
    <row r="42" spans="1:7" x14ac:dyDescent="0.25">
      <c r="A42" t="s">
        <v>315</v>
      </c>
      <c r="B42" t="s">
        <v>3</v>
      </c>
      <c r="C42" t="s">
        <v>57</v>
      </c>
      <c r="D42" t="s">
        <v>3</v>
      </c>
      <c r="E42" t="s">
        <v>58</v>
      </c>
      <c r="F42" t="s">
        <v>3</v>
      </c>
      <c r="G42" t="s">
        <v>313</v>
      </c>
    </row>
    <row r="43" spans="1:7" x14ac:dyDescent="0.25">
      <c r="A43" t="s">
        <v>316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</row>
    <row r="44" spans="1:7" x14ac:dyDescent="0.25">
      <c r="A44" t="s">
        <v>317</v>
      </c>
      <c r="B44" t="s">
        <v>3</v>
      </c>
      <c r="C44" t="s">
        <v>318</v>
      </c>
      <c r="D44" t="s">
        <v>3</v>
      </c>
      <c r="E44" t="s">
        <v>319</v>
      </c>
      <c r="F44" t="s">
        <v>3</v>
      </c>
      <c r="G44" t="s">
        <v>320</v>
      </c>
    </row>
    <row r="45" spans="1:7" x14ac:dyDescent="0.25">
      <c r="A45" t="s">
        <v>321</v>
      </c>
      <c r="B45" t="s">
        <v>3</v>
      </c>
      <c r="C45" t="s">
        <v>322</v>
      </c>
      <c r="D45" t="s">
        <v>3</v>
      </c>
      <c r="E45" t="s">
        <v>323</v>
      </c>
      <c r="F45" t="s">
        <v>3</v>
      </c>
      <c r="G45" t="s">
        <v>324</v>
      </c>
    </row>
  </sheetData>
  <pageMargins left="0.7" right="0.7" top="0.75" bottom="0.75" header="0.3" footer="0.3"/>
  <ignoredErrors>
    <ignoredError sqref="A1:G4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E8"/>
  <sheetViews>
    <sheetView workbookViewId="0"/>
  </sheetViews>
  <sheetFormatPr defaultRowHeight="15.75" x14ac:dyDescent="0.25"/>
  <cols>
    <col min="1" max="1" width="49.875" customWidth="1"/>
    <col min="2" max="2" width="10.875" customWidth="1"/>
    <col min="3" max="3" width="11.875" customWidth="1"/>
    <col min="4" max="4" width="10.875" customWidth="1"/>
    <col min="5" max="5" width="11.875" customWidth="1"/>
  </cols>
  <sheetData>
    <row r="1" spans="1:5" x14ac:dyDescent="0.25">
      <c r="A1" t="s">
        <v>326</v>
      </c>
      <c r="B1" t="s">
        <v>3</v>
      </c>
      <c r="C1" t="s">
        <v>327</v>
      </c>
      <c r="D1" t="s">
        <v>3</v>
      </c>
      <c r="E1" t="s">
        <v>328</v>
      </c>
    </row>
    <row r="2" spans="1:5" x14ac:dyDescent="0.25">
      <c r="A2" t="s">
        <v>329</v>
      </c>
      <c r="B2" t="s">
        <v>0</v>
      </c>
      <c r="C2" t="s">
        <v>330</v>
      </c>
      <c r="D2" t="s">
        <v>0</v>
      </c>
      <c r="E2" t="s">
        <v>331</v>
      </c>
    </row>
    <row r="3" spans="1:5" x14ac:dyDescent="0.25">
      <c r="A3" t="s">
        <v>332</v>
      </c>
      <c r="B3" t="s">
        <v>0</v>
      </c>
      <c r="C3" t="s">
        <v>333</v>
      </c>
      <c r="D3" t="s">
        <v>0</v>
      </c>
      <c r="E3" t="s">
        <v>334</v>
      </c>
    </row>
    <row r="4" spans="1:5" x14ac:dyDescent="0.25">
      <c r="A4" t="s">
        <v>335</v>
      </c>
      <c r="B4" t="s">
        <v>0</v>
      </c>
      <c r="C4" t="s">
        <v>336</v>
      </c>
      <c r="D4" t="s">
        <v>0</v>
      </c>
      <c r="E4" t="s">
        <v>337</v>
      </c>
    </row>
    <row r="5" spans="1:5" x14ac:dyDescent="0.25">
      <c r="A5" t="s">
        <v>338</v>
      </c>
      <c r="B5" t="s">
        <v>0</v>
      </c>
      <c r="C5" t="s">
        <v>339</v>
      </c>
      <c r="D5" t="s">
        <v>0</v>
      </c>
      <c r="E5" t="s">
        <v>340</v>
      </c>
    </row>
    <row r="6" spans="1:5" x14ac:dyDescent="0.25">
      <c r="A6" t="s">
        <v>0</v>
      </c>
      <c r="B6" t="s">
        <v>0</v>
      </c>
      <c r="C6" t="s">
        <v>341</v>
      </c>
      <c r="D6" t="s">
        <v>0</v>
      </c>
      <c r="E6" t="s">
        <v>342</v>
      </c>
    </row>
    <row r="7" spans="1:5" x14ac:dyDescent="0.25">
      <c r="A7" t="s">
        <v>343</v>
      </c>
      <c r="B7" t="s">
        <v>0</v>
      </c>
      <c r="C7" t="s">
        <v>344</v>
      </c>
      <c r="D7" t="s">
        <v>0</v>
      </c>
      <c r="E7" t="s">
        <v>345</v>
      </c>
    </row>
    <row r="8" spans="1:5" x14ac:dyDescent="0.25">
      <c r="A8" t="s">
        <v>77</v>
      </c>
      <c r="B8" t="s">
        <v>3</v>
      </c>
      <c r="C8" t="s">
        <v>78</v>
      </c>
      <c r="D8" t="s">
        <v>3</v>
      </c>
      <c r="E8" t="s">
        <v>79</v>
      </c>
    </row>
  </sheetData>
  <pageMargins left="0.7" right="0.7" top="0.75" bottom="0.75" header="0.3" footer="0.3"/>
  <ignoredErrors>
    <ignoredError sqref="A2:E8 B1:E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D3"/>
  <sheetViews>
    <sheetView workbookViewId="0"/>
  </sheetViews>
  <sheetFormatPr defaultRowHeight="15.75" x14ac:dyDescent="0.25"/>
  <cols>
    <col min="1" max="1" width="60.875" customWidth="1"/>
    <col min="2" max="4" width="10.875" customWidth="1"/>
  </cols>
  <sheetData>
    <row r="1" spans="1:4" x14ac:dyDescent="0.25">
      <c r="A1" t="s">
        <v>195</v>
      </c>
      <c r="B1" t="s">
        <v>196</v>
      </c>
      <c r="C1" t="s">
        <v>197</v>
      </c>
      <c r="D1" t="s">
        <v>198</v>
      </c>
    </row>
    <row r="2" spans="1:4" x14ac:dyDescent="0.25">
      <c r="A2" t="s">
        <v>372</v>
      </c>
      <c r="B2" t="s">
        <v>373</v>
      </c>
      <c r="C2" t="s">
        <v>374</v>
      </c>
      <c r="D2" t="s">
        <v>375</v>
      </c>
    </row>
    <row r="3" spans="1:4" x14ac:dyDescent="0.25">
      <c r="A3" t="s">
        <v>376</v>
      </c>
      <c r="B3" t="s">
        <v>204</v>
      </c>
      <c r="C3" t="s">
        <v>205</v>
      </c>
      <c r="D3" t="s">
        <v>206</v>
      </c>
    </row>
  </sheetData>
  <pageMargins left="0.7" right="0.7" top="0.75" bottom="0.75" header="0.3" footer="0.3"/>
  <ignoredErrors>
    <ignoredError sqref="A1:D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H12"/>
  <sheetViews>
    <sheetView workbookViewId="0"/>
  </sheetViews>
  <sheetFormatPr defaultRowHeight="15.75" x14ac:dyDescent="0.25"/>
  <cols>
    <col min="1" max="1" width="53.875" customWidth="1"/>
    <col min="2" max="3" width="10.875" customWidth="1"/>
    <col min="4" max="4" width="11.875" customWidth="1"/>
    <col min="5" max="7" width="10.875" customWidth="1"/>
    <col min="8" max="8" width="11.875" customWidth="1"/>
  </cols>
  <sheetData>
    <row r="1" spans="1:8" x14ac:dyDescent="0.25">
      <c r="A1" t="s">
        <v>31</v>
      </c>
      <c r="B1" t="s">
        <v>0</v>
      </c>
      <c r="C1" t="s">
        <v>3</v>
      </c>
      <c r="D1" t="s">
        <v>32</v>
      </c>
      <c r="E1" t="s">
        <v>3</v>
      </c>
      <c r="F1" t="s">
        <v>36</v>
      </c>
      <c r="G1" t="s">
        <v>3</v>
      </c>
      <c r="H1" t="s">
        <v>40</v>
      </c>
    </row>
    <row r="2" spans="1:8" x14ac:dyDescent="0.25">
      <c r="A2" t="s">
        <v>43</v>
      </c>
      <c r="B2" t="s">
        <v>0</v>
      </c>
      <c r="C2" t="s">
        <v>0</v>
      </c>
      <c r="D2" t="s">
        <v>44</v>
      </c>
      <c r="E2" t="s">
        <v>0</v>
      </c>
      <c r="F2" t="s">
        <v>47</v>
      </c>
      <c r="G2" t="s">
        <v>0</v>
      </c>
      <c r="H2" t="s">
        <v>51</v>
      </c>
    </row>
    <row r="3" spans="1:8" x14ac:dyDescent="0.25">
      <c r="A3" t="s">
        <v>144</v>
      </c>
      <c r="B3" t="s">
        <v>0</v>
      </c>
      <c r="C3" t="s">
        <v>0</v>
      </c>
      <c r="D3" t="s">
        <v>388</v>
      </c>
      <c r="E3" t="s">
        <v>0</v>
      </c>
      <c r="F3" t="s">
        <v>389</v>
      </c>
      <c r="G3" t="s">
        <v>0</v>
      </c>
      <c r="H3" t="s">
        <v>145</v>
      </c>
    </row>
    <row r="4" spans="1:8" x14ac:dyDescent="0.25">
      <c r="A4" t="s">
        <v>149</v>
      </c>
      <c r="B4" t="s">
        <v>0</v>
      </c>
      <c r="C4" t="s">
        <v>0</v>
      </c>
      <c r="D4" t="s">
        <v>390</v>
      </c>
      <c r="E4" t="s">
        <v>0</v>
      </c>
      <c r="F4" t="s">
        <v>391</v>
      </c>
      <c r="G4" t="s">
        <v>0</v>
      </c>
      <c r="H4" t="s">
        <v>150</v>
      </c>
    </row>
    <row r="5" spans="1:8" x14ac:dyDescent="0.25">
      <c r="A5" t="s">
        <v>153</v>
      </c>
      <c r="B5" t="s">
        <v>0</v>
      </c>
      <c r="C5" t="s">
        <v>0</v>
      </c>
      <c r="D5" t="s">
        <v>392</v>
      </c>
      <c r="E5" t="s">
        <v>0</v>
      </c>
      <c r="F5" t="s">
        <v>393</v>
      </c>
      <c r="G5" t="s">
        <v>0</v>
      </c>
      <c r="H5" t="s">
        <v>154</v>
      </c>
    </row>
    <row r="6" spans="1:8" x14ac:dyDescent="0.25">
      <c r="A6" t="s">
        <v>157</v>
      </c>
      <c r="B6" t="s">
        <v>0</v>
      </c>
      <c r="C6" t="s">
        <v>0</v>
      </c>
      <c r="D6" t="s">
        <v>394</v>
      </c>
      <c r="E6" t="s">
        <v>0</v>
      </c>
      <c r="F6" t="s">
        <v>395</v>
      </c>
      <c r="G6" t="s">
        <v>0</v>
      </c>
      <c r="H6" t="s">
        <v>158</v>
      </c>
    </row>
    <row r="7" spans="1:8" x14ac:dyDescent="0.25">
      <c r="A7" t="s">
        <v>165</v>
      </c>
      <c r="B7" t="s">
        <v>0</v>
      </c>
      <c r="C7" t="s">
        <v>3</v>
      </c>
      <c r="D7" t="s">
        <v>396</v>
      </c>
      <c r="E7" t="s">
        <v>3</v>
      </c>
      <c r="F7" t="s">
        <v>397</v>
      </c>
      <c r="G7" t="s">
        <v>3</v>
      </c>
      <c r="H7" t="s">
        <v>166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0</v>
      </c>
      <c r="C9" t="s">
        <v>3</v>
      </c>
      <c r="D9" t="s">
        <v>399</v>
      </c>
      <c r="E9" t="s">
        <v>3</v>
      </c>
      <c r="F9" t="s">
        <v>400</v>
      </c>
      <c r="G9" t="s">
        <v>3</v>
      </c>
      <c r="H9" t="s">
        <v>401</v>
      </c>
    </row>
    <row r="10" spans="1:8" x14ac:dyDescent="0.25">
      <c r="A10" t="s">
        <v>402</v>
      </c>
      <c r="B10" t="s">
        <v>0</v>
      </c>
      <c r="C10" t="s">
        <v>0</v>
      </c>
      <c r="D10" t="s">
        <v>403</v>
      </c>
      <c r="E10" t="s">
        <v>0</v>
      </c>
      <c r="F10" t="s">
        <v>404</v>
      </c>
      <c r="G10" t="s">
        <v>0</v>
      </c>
      <c r="H10" t="s">
        <v>405</v>
      </c>
    </row>
    <row r="11" spans="1:8" x14ac:dyDescent="0.25">
      <c r="A11" t="s">
        <v>92</v>
      </c>
      <c r="B11" t="s">
        <v>0</v>
      </c>
      <c r="C11" t="s">
        <v>0</v>
      </c>
      <c r="D11" t="s">
        <v>406</v>
      </c>
      <c r="E11" t="s">
        <v>0</v>
      </c>
      <c r="F11" t="s">
        <v>407</v>
      </c>
      <c r="G11" t="s">
        <v>0</v>
      </c>
      <c r="H11" t="s">
        <v>93</v>
      </c>
    </row>
    <row r="12" spans="1:8" x14ac:dyDescent="0.25">
      <c r="A12" t="s">
        <v>86</v>
      </c>
      <c r="B12" t="s">
        <v>0</v>
      </c>
      <c r="C12" t="s">
        <v>0</v>
      </c>
      <c r="D12" t="s">
        <v>408</v>
      </c>
      <c r="E12" t="s">
        <v>0</v>
      </c>
      <c r="F12" t="s">
        <v>409</v>
      </c>
      <c r="G12" t="s">
        <v>0</v>
      </c>
      <c r="H12" t="s">
        <v>87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I12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33</v>
      </c>
      <c r="F1" t="s">
        <v>3</v>
      </c>
      <c r="G1" t="s">
        <v>37</v>
      </c>
      <c r="H1" t="s">
        <v>3</v>
      </c>
      <c r="I1" t="s">
        <v>41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45</v>
      </c>
      <c r="F2" t="s">
        <v>0</v>
      </c>
      <c r="G2" t="s">
        <v>48</v>
      </c>
      <c r="H2" t="s">
        <v>0</v>
      </c>
      <c r="I2" t="s">
        <v>52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410</v>
      </c>
      <c r="F3" t="s">
        <v>0</v>
      </c>
      <c r="G3" t="s">
        <v>411</v>
      </c>
      <c r="H3" t="s">
        <v>0</v>
      </c>
      <c r="I3" t="s">
        <v>146</v>
      </c>
    </row>
    <row r="4" spans="1:9" x14ac:dyDescent="0.25">
      <c r="A4" t="s">
        <v>149</v>
      </c>
      <c r="B4" t="s">
        <v>0</v>
      </c>
      <c r="C4" t="s">
        <v>0</v>
      </c>
      <c r="D4" t="s">
        <v>0</v>
      </c>
      <c r="E4" t="s">
        <v>412</v>
      </c>
      <c r="F4" t="s">
        <v>0</v>
      </c>
      <c r="G4" t="s">
        <v>413</v>
      </c>
      <c r="H4" t="s">
        <v>0</v>
      </c>
      <c r="I4" t="s">
        <v>151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414</v>
      </c>
      <c r="F5" t="s">
        <v>0</v>
      </c>
      <c r="G5" t="s">
        <v>415</v>
      </c>
      <c r="H5" t="s">
        <v>0</v>
      </c>
      <c r="I5" t="s">
        <v>155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416</v>
      </c>
      <c r="F6" t="s">
        <v>0</v>
      </c>
      <c r="G6" t="s">
        <v>417</v>
      </c>
      <c r="H6" t="s">
        <v>0</v>
      </c>
      <c r="I6" t="s">
        <v>159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418</v>
      </c>
      <c r="F7" t="s">
        <v>3</v>
      </c>
      <c r="G7" t="s">
        <v>419</v>
      </c>
      <c r="H7" t="s">
        <v>3</v>
      </c>
      <c r="I7" t="s">
        <v>167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420</v>
      </c>
      <c r="F9" t="s">
        <v>3</v>
      </c>
      <c r="G9" t="s">
        <v>421</v>
      </c>
      <c r="H9" t="s">
        <v>3</v>
      </c>
      <c r="I9" t="s">
        <v>422</v>
      </c>
    </row>
    <row r="10" spans="1:9" x14ac:dyDescent="0.25">
      <c r="A10" t="s">
        <v>402</v>
      </c>
      <c r="B10" t="s">
        <v>0</v>
      </c>
      <c r="C10" t="s">
        <v>0</v>
      </c>
      <c r="D10" t="s">
        <v>0</v>
      </c>
      <c r="E10" t="s">
        <v>423</v>
      </c>
      <c r="F10" t="s">
        <v>0</v>
      </c>
      <c r="G10" t="s">
        <v>424</v>
      </c>
      <c r="H10" t="s">
        <v>0</v>
      </c>
      <c r="I10" t="s">
        <v>425</v>
      </c>
    </row>
    <row r="11" spans="1:9" x14ac:dyDescent="0.25">
      <c r="A11" t="s">
        <v>92</v>
      </c>
      <c r="B11" t="s">
        <v>0</v>
      </c>
      <c r="C11" t="s">
        <v>0</v>
      </c>
      <c r="D11" t="s">
        <v>0</v>
      </c>
      <c r="E11" t="s">
        <v>426</v>
      </c>
      <c r="F11" t="s">
        <v>0</v>
      </c>
      <c r="G11" t="s">
        <v>427</v>
      </c>
      <c r="H11" t="s">
        <v>0</v>
      </c>
      <c r="I11" t="s">
        <v>94</v>
      </c>
    </row>
    <row r="12" spans="1:9" x14ac:dyDescent="0.25">
      <c r="A12" t="s">
        <v>86</v>
      </c>
      <c r="B12" t="s">
        <v>0</v>
      </c>
      <c r="C12" t="s">
        <v>0</v>
      </c>
      <c r="D12" t="s">
        <v>0</v>
      </c>
      <c r="E12" t="s">
        <v>428</v>
      </c>
      <c r="F12" t="s">
        <v>0</v>
      </c>
      <c r="G12" t="s">
        <v>429</v>
      </c>
      <c r="H12" t="s">
        <v>0</v>
      </c>
      <c r="I12" t="s">
        <v>88</v>
      </c>
    </row>
  </sheetData>
  <pageMargins left="0.7" right="0.7" top="0.75" bottom="0.75" header="0.3" footer="0.3"/>
  <ignoredErrors>
    <ignoredError sqref="A1:I1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I10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34</v>
      </c>
      <c r="F1" t="s">
        <v>3</v>
      </c>
      <c r="G1" t="s">
        <v>38</v>
      </c>
      <c r="H1" t="s">
        <v>3</v>
      </c>
      <c r="I1" t="s">
        <v>42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46</v>
      </c>
      <c r="F2" t="s">
        <v>0</v>
      </c>
      <c r="G2" t="s">
        <v>49</v>
      </c>
      <c r="H2" t="s">
        <v>0</v>
      </c>
      <c r="I2" t="s">
        <v>53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430</v>
      </c>
      <c r="F3" t="s">
        <v>0</v>
      </c>
      <c r="G3" t="s">
        <v>431</v>
      </c>
      <c r="H3" t="s">
        <v>0</v>
      </c>
      <c r="I3" t="s">
        <v>147</v>
      </c>
    </row>
    <row r="4" spans="1:9" x14ac:dyDescent="0.25">
      <c r="A4" t="s">
        <v>149</v>
      </c>
      <c r="B4" t="s">
        <v>0</v>
      </c>
      <c r="C4" t="s">
        <v>0</v>
      </c>
      <c r="D4" t="s">
        <v>0</v>
      </c>
      <c r="E4" t="s">
        <v>432</v>
      </c>
      <c r="F4" t="s">
        <v>0</v>
      </c>
      <c r="G4" t="s">
        <v>433</v>
      </c>
      <c r="H4" t="s">
        <v>0</v>
      </c>
      <c r="I4" t="s">
        <v>152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434</v>
      </c>
      <c r="F5" t="s">
        <v>0</v>
      </c>
      <c r="G5" t="s">
        <v>435</v>
      </c>
      <c r="H5" t="s">
        <v>0</v>
      </c>
      <c r="I5" t="s">
        <v>156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436</v>
      </c>
      <c r="F6" t="s">
        <v>0</v>
      </c>
      <c r="G6" t="s">
        <v>437</v>
      </c>
      <c r="H6" t="s">
        <v>0</v>
      </c>
      <c r="I6" t="s">
        <v>160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438</v>
      </c>
      <c r="F7" t="s">
        <v>3</v>
      </c>
      <c r="G7" t="s">
        <v>439</v>
      </c>
      <c r="H7" t="s">
        <v>3</v>
      </c>
      <c r="I7" t="s">
        <v>168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440</v>
      </c>
      <c r="F9" t="s">
        <v>3</v>
      </c>
      <c r="G9" t="s">
        <v>441</v>
      </c>
      <c r="H9" t="s">
        <v>3</v>
      </c>
      <c r="I9" t="s">
        <v>442</v>
      </c>
    </row>
    <row r="10" spans="1:9" x14ac:dyDescent="0.25">
      <c r="A10" t="s">
        <v>402</v>
      </c>
      <c r="B10" t="s">
        <v>0</v>
      </c>
      <c r="C10" t="s">
        <v>0</v>
      </c>
      <c r="D10" t="s">
        <v>0</v>
      </c>
      <c r="E10" t="s">
        <v>443</v>
      </c>
      <c r="F10" t="s">
        <v>0</v>
      </c>
      <c r="G10" t="s">
        <v>444</v>
      </c>
      <c r="H10" t="s">
        <v>0</v>
      </c>
      <c r="I10" t="s">
        <v>445</v>
      </c>
    </row>
  </sheetData>
  <pageMargins left="0.7" right="0.7" top="0.75" bottom="0.75" header="0.3" footer="0.3"/>
  <ignoredErrors>
    <ignoredError sqref="A1:I1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G4"/>
  <sheetViews>
    <sheetView workbookViewId="0">
      <selection activeCell="B2" sqref="B2"/>
    </sheetView>
  </sheetViews>
  <sheetFormatPr defaultRowHeight="15.75" x14ac:dyDescent="0.25"/>
  <cols>
    <col min="1" max="1" width="24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450</v>
      </c>
      <c r="D2" t="s">
        <v>3</v>
      </c>
      <c r="E2" t="s">
        <v>32</v>
      </c>
      <c r="F2" t="s">
        <v>3</v>
      </c>
      <c r="G2" t="s">
        <v>33</v>
      </c>
    </row>
    <row r="3" spans="1:7" x14ac:dyDescent="0.25">
      <c r="A3" t="s">
        <v>35</v>
      </c>
      <c r="B3" t="s">
        <v>0</v>
      </c>
      <c r="C3" t="s">
        <v>451</v>
      </c>
      <c r="D3" t="s">
        <v>0</v>
      </c>
      <c r="E3" t="s">
        <v>36</v>
      </c>
      <c r="F3" t="s">
        <v>0</v>
      </c>
      <c r="G3" t="s">
        <v>37</v>
      </c>
    </row>
    <row r="4" spans="1:7" x14ac:dyDescent="0.25">
      <c r="A4" t="s">
        <v>39</v>
      </c>
      <c r="B4" t="s">
        <v>3</v>
      </c>
      <c r="C4" t="s">
        <v>452</v>
      </c>
      <c r="D4" t="s">
        <v>3</v>
      </c>
      <c r="E4" t="s">
        <v>40</v>
      </c>
      <c r="F4" t="s">
        <v>3</v>
      </c>
      <c r="G4" t="s">
        <v>41</v>
      </c>
    </row>
  </sheetData>
  <pageMargins left="0.7" right="0.7" top="0.75" bottom="0.75" header="0.3" footer="0.3"/>
  <ignoredErrors>
    <ignoredError sqref="A1:G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G4"/>
  <sheetViews>
    <sheetView workbookViewId="0"/>
  </sheetViews>
  <sheetFormatPr defaultRowHeight="15.75" x14ac:dyDescent="0.25"/>
  <cols>
    <col min="1" max="1" width="21.875" customWidth="1"/>
    <col min="2" max="7" width="10.875" customWidth="1"/>
  </cols>
  <sheetData>
    <row r="1" spans="1:7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453</v>
      </c>
      <c r="D2" t="s">
        <v>3</v>
      </c>
      <c r="E2" t="s">
        <v>44</v>
      </c>
      <c r="F2" t="s">
        <v>3</v>
      </c>
      <c r="G2" t="s">
        <v>45</v>
      </c>
    </row>
    <row r="3" spans="1:7" x14ac:dyDescent="0.25">
      <c r="A3" t="s">
        <v>35</v>
      </c>
      <c r="B3" t="s">
        <v>0</v>
      </c>
      <c r="C3" t="s">
        <v>454</v>
      </c>
      <c r="D3" t="s">
        <v>0</v>
      </c>
      <c r="E3" t="s">
        <v>47</v>
      </c>
      <c r="F3" t="s">
        <v>0</v>
      </c>
      <c r="G3" t="s">
        <v>48</v>
      </c>
    </row>
    <row r="4" spans="1:7" x14ac:dyDescent="0.25">
      <c r="A4" t="s">
        <v>50</v>
      </c>
      <c r="B4" t="s">
        <v>3</v>
      </c>
      <c r="C4" t="s">
        <v>455</v>
      </c>
      <c r="D4" t="s">
        <v>3</v>
      </c>
      <c r="E4" t="s">
        <v>51</v>
      </c>
      <c r="F4" t="s">
        <v>3</v>
      </c>
      <c r="G4" t="s">
        <v>52</v>
      </c>
    </row>
  </sheetData>
  <pageMargins left="0.7" right="0.7" top="0.75" bottom="0.75" header="0.3" footer="0.3"/>
  <ignoredErrors>
    <ignoredError sqref="A1:G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tabColor theme="3" tint="-0.249977111117893"/>
  </sheetPr>
  <dimension ref="A1:E39"/>
  <sheetViews>
    <sheetView topLeftCell="A16" workbookViewId="0">
      <selection activeCell="C27" sqref="C27"/>
    </sheetView>
  </sheetViews>
  <sheetFormatPr defaultRowHeight="15.75" x14ac:dyDescent="0.25"/>
  <cols>
    <col min="1" max="1" width="60.875" customWidth="1"/>
    <col min="2" max="2" width="10.875" customWidth="1"/>
    <col min="3" max="3" width="11.875" customWidth="1"/>
    <col min="4" max="4" width="10.875" customWidth="1"/>
    <col min="5" max="5" width="11.875" customWidth="1"/>
  </cols>
  <sheetData>
    <row r="1" spans="1:5" x14ac:dyDescent="0.25">
      <c r="A1" t="s">
        <v>54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t="s">
        <v>55</v>
      </c>
      <c r="B2" t="s">
        <v>0</v>
      </c>
      <c r="C2" t="s">
        <v>0</v>
      </c>
      <c r="D2" t="s">
        <v>0</v>
      </c>
      <c r="E2" t="s">
        <v>0</v>
      </c>
    </row>
    <row r="3" spans="1:5" x14ac:dyDescent="0.25">
      <c r="A3" t="s">
        <v>56</v>
      </c>
      <c r="B3" t="s">
        <v>3</v>
      </c>
      <c r="C3" t="s">
        <v>456</v>
      </c>
      <c r="D3" t="s">
        <v>3</v>
      </c>
      <c r="E3" t="s">
        <v>57</v>
      </c>
    </row>
    <row r="4" spans="1:5" x14ac:dyDescent="0.25">
      <c r="A4" t="s">
        <v>457</v>
      </c>
      <c r="B4" t="s">
        <v>0</v>
      </c>
      <c r="C4" t="s">
        <v>458</v>
      </c>
      <c r="D4" t="s">
        <v>0</v>
      </c>
      <c r="E4" t="s">
        <v>4</v>
      </c>
    </row>
    <row r="5" spans="1:5" x14ac:dyDescent="0.25">
      <c r="A5" t="s">
        <v>59</v>
      </c>
      <c r="B5" t="s">
        <v>0</v>
      </c>
      <c r="C5" t="s">
        <v>459</v>
      </c>
      <c r="D5" t="s">
        <v>0</v>
      </c>
      <c r="E5" t="s">
        <v>60</v>
      </c>
    </row>
    <row r="6" spans="1:5" x14ac:dyDescent="0.25">
      <c r="A6" t="s">
        <v>62</v>
      </c>
      <c r="B6" t="s">
        <v>0</v>
      </c>
      <c r="C6" t="s">
        <v>460</v>
      </c>
      <c r="D6" t="s">
        <v>0</v>
      </c>
      <c r="E6" t="s">
        <v>63</v>
      </c>
    </row>
    <row r="7" spans="1:5" x14ac:dyDescent="0.25">
      <c r="A7" t="s">
        <v>65</v>
      </c>
      <c r="B7" t="s">
        <v>0</v>
      </c>
      <c r="C7" t="s">
        <v>461</v>
      </c>
      <c r="D7" t="s">
        <v>0</v>
      </c>
      <c r="E7" t="s">
        <v>66</v>
      </c>
    </row>
    <row r="8" spans="1:5" x14ac:dyDescent="0.25">
      <c r="A8" t="s">
        <v>68</v>
      </c>
      <c r="B8" t="s">
        <v>0</v>
      </c>
      <c r="C8" t="s">
        <v>462</v>
      </c>
      <c r="D8" t="s">
        <v>0</v>
      </c>
      <c r="E8" t="s">
        <v>69</v>
      </c>
    </row>
    <row r="9" spans="1:5" x14ac:dyDescent="0.25">
      <c r="A9" t="s">
        <v>71</v>
      </c>
      <c r="B9" t="s">
        <v>0</v>
      </c>
      <c r="C9" t="s">
        <v>463</v>
      </c>
      <c r="D9" t="s">
        <v>0</v>
      </c>
      <c r="E9" t="s">
        <v>72</v>
      </c>
    </row>
    <row r="10" spans="1:5" x14ac:dyDescent="0.25">
      <c r="A10" t="s">
        <v>74</v>
      </c>
      <c r="B10" t="s">
        <v>0</v>
      </c>
      <c r="C10" t="s">
        <v>464</v>
      </c>
      <c r="D10" t="s">
        <v>0</v>
      </c>
      <c r="E10" t="s">
        <v>75</v>
      </c>
    </row>
    <row r="11" spans="1:5" x14ac:dyDescent="0.25">
      <c r="A11" t="s">
        <v>77</v>
      </c>
      <c r="B11" t="s">
        <v>0</v>
      </c>
      <c r="C11" t="s">
        <v>465</v>
      </c>
      <c r="D11" t="s">
        <v>0</v>
      </c>
      <c r="E11" t="s">
        <v>78</v>
      </c>
    </row>
    <row r="12" spans="1:5" x14ac:dyDescent="0.25">
      <c r="A12" t="s">
        <v>80</v>
      </c>
      <c r="B12" t="s">
        <v>0</v>
      </c>
      <c r="C12" t="s">
        <v>466</v>
      </c>
      <c r="D12" t="s">
        <v>0</v>
      </c>
      <c r="E12" t="s">
        <v>81</v>
      </c>
    </row>
    <row r="13" spans="1:5" x14ac:dyDescent="0.25">
      <c r="A13" t="s">
        <v>83</v>
      </c>
      <c r="B13" t="s">
        <v>0</v>
      </c>
      <c r="C13" t="s">
        <v>467</v>
      </c>
      <c r="D13" t="s">
        <v>0</v>
      </c>
      <c r="E13" t="s">
        <v>84</v>
      </c>
    </row>
    <row r="14" spans="1:5" x14ac:dyDescent="0.25">
      <c r="A14" t="s">
        <v>86</v>
      </c>
      <c r="B14" t="s">
        <v>0</v>
      </c>
      <c r="C14" t="s">
        <v>468</v>
      </c>
      <c r="D14" t="s">
        <v>0</v>
      </c>
      <c r="E14" t="s">
        <v>87</v>
      </c>
    </row>
    <row r="15" spans="1:5" x14ac:dyDescent="0.25">
      <c r="A15" t="s">
        <v>89</v>
      </c>
      <c r="B15" t="s">
        <v>0</v>
      </c>
      <c r="C15" t="s">
        <v>469</v>
      </c>
      <c r="D15" t="s">
        <v>0</v>
      </c>
      <c r="E15" t="s">
        <v>90</v>
      </c>
    </row>
    <row r="16" spans="1:5" x14ac:dyDescent="0.25">
      <c r="A16" t="s">
        <v>92</v>
      </c>
      <c r="B16" t="s">
        <v>3</v>
      </c>
      <c r="C16" t="s">
        <v>470</v>
      </c>
      <c r="D16" t="s">
        <v>3</v>
      </c>
      <c r="E16" t="s">
        <v>93</v>
      </c>
    </row>
    <row r="17" spans="1:5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</row>
    <row r="18" spans="1:5" x14ac:dyDescent="0.25">
      <c r="A18" t="s">
        <v>95</v>
      </c>
      <c r="B18" t="s">
        <v>0</v>
      </c>
      <c r="C18" t="s">
        <v>0</v>
      </c>
      <c r="D18" t="s">
        <v>0</v>
      </c>
      <c r="E18" t="s">
        <v>0</v>
      </c>
    </row>
    <row r="19" spans="1:5" x14ac:dyDescent="0.25">
      <c r="A19" t="s">
        <v>96</v>
      </c>
      <c r="B19" t="s">
        <v>0</v>
      </c>
      <c r="C19" t="s">
        <v>0</v>
      </c>
      <c r="D19" t="s">
        <v>0</v>
      </c>
      <c r="E19" t="s">
        <v>0</v>
      </c>
    </row>
    <row r="20" spans="1:5" x14ac:dyDescent="0.25">
      <c r="A20" t="s">
        <v>97</v>
      </c>
      <c r="B20" t="s">
        <v>3</v>
      </c>
      <c r="C20" t="s">
        <v>471</v>
      </c>
      <c r="D20" t="s">
        <v>3</v>
      </c>
      <c r="E20" t="s">
        <v>98</v>
      </c>
    </row>
    <row r="21" spans="1:5" x14ac:dyDescent="0.25">
      <c r="A21" t="s">
        <v>100</v>
      </c>
      <c r="B21" t="s">
        <v>0</v>
      </c>
      <c r="C21" t="s">
        <v>472</v>
      </c>
      <c r="D21" t="s">
        <v>0</v>
      </c>
      <c r="E21" t="s">
        <v>101</v>
      </c>
    </row>
    <row r="22" spans="1:5" x14ac:dyDescent="0.25">
      <c r="A22" t="s">
        <v>103</v>
      </c>
      <c r="B22" t="s">
        <v>0</v>
      </c>
      <c r="C22" t="s">
        <v>473</v>
      </c>
      <c r="D22" t="s">
        <v>0</v>
      </c>
      <c r="E22" t="s">
        <v>4</v>
      </c>
    </row>
    <row r="23" spans="1:5" x14ac:dyDescent="0.25">
      <c r="A23" t="s">
        <v>105</v>
      </c>
      <c r="B23" t="s">
        <v>0</v>
      </c>
      <c r="C23" t="s">
        <v>474</v>
      </c>
      <c r="D23" t="s">
        <v>0</v>
      </c>
      <c r="E23" t="s">
        <v>106</v>
      </c>
    </row>
    <row r="24" spans="1:5" x14ac:dyDescent="0.25">
      <c r="A24" t="s">
        <v>108</v>
      </c>
      <c r="B24" t="s">
        <v>0</v>
      </c>
      <c r="C24" t="s">
        <v>475</v>
      </c>
      <c r="D24" t="s">
        <v>0</v>
      </c>
      <c r="E24" t="s">
        <v>109</v>
      </c>
    </row>
    <row r="25" spans="1:5" x14ac:dyDescent="0.25">
      <c r="A25" t="s">
        <v>111</v>
      </c>
      <c r="B25" t="s">
        <v>0</v>
      </c>
      <c r="C25" t="s">
        <v>476</v>
      </c>
      <c r="D25" t="s">
        <v>0</v>
      </c>
      <c r="E25" t="s">
        <v>112</v>
      </c>
    </row>
    <row r="26" spans="1:5" x14ac:dyDescent="0.25">
      <c r="A26" t="s">
        <v>103</v>
      </c>
      <c r="B26" t="s">
        <v>0</v>
      </c>
      <c r="C26" t="s">
        <v>477</v>
      </c>
      <c r="D26" t="s">
        <v>0</v>
      </c>
      <c r="E26" t="s">
        <v>114</v>
      </c>
    </row>
    <row r="27" spans="1:5" x14ac:dyDescent="0.25">
      <c r="A27" t="s">
        <v>116</v>
      </c>
      <c r="B27" t="s">
        <v>0</v>
      </c>
      <c r="C27" t="s">
        <v>478</v>
      </c>
      <c r="D27" t="s">
        <v>0</v>
      </c>
      <c r="E27" t="s">
        <v>117</v>
      </c>
    </row>
    <row r="28" spans="1:5" x14ac:dyDescent="0.25">
      <c r="A28" t="s">
        <v>119</v>
      </c>
      <c r="B28" t="s">
        <v>0</v>
      </c>
      <c r="C28" t="s">
        <v>479</v>
      </c>
      <c r="D28" t="s">
        <v>0</v>
      </c>
      <c r="E28" t="s">
        <v>120</v>
      </c>
    </row>
    <row r="29" spans="1:5" x14ac:dyDescent="0.25">
      <c r="A29" t="s">
        <v>122</v>
      </c>
      <c r="B29" t="s">
        <v>0</v>
      </c>
      <c r="C29" t="s">
        <v>480</v>
      </c>
      <c r="D29" t="s">
        <v>0</v>
      </c>
      <c r="E29" t="s">
        <v>123</v>
      </c>
    </row>
    <row r="30" spans="1:5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</row>
    <row r="31" spans="1:5" x14ac:dyDescent="0.25">
      <c r="A31" t="s">
        <v>125</v>
      </c>
      <c r="B31" t="s">
        <v>0</v>
      </c>
      <c r="C31" t="s">
        <v>0</v>
      </c>
      <c r="D31" t="s">
        <v>0</v>
      </c>
      <c r="E31" t="s">
        <v>0</v>
      </c>
    </row>
    <row r="32" spans="1:5" x14ac:dyDescent="0.25">
      <c r="A32" t="s">
        <v>126</v>
      </c>
      <c r="B32" t="s">
        <v>0</v>
      </c>
      <c r="C32" t="s">
        <v>0</v>
      </c>
      <c r="D32" t="s">
        <v>0</v>
      </c>
      <c r="E32" t="s">
        <v>0</v>
      </c>
    </row>
    <row r="33" spans="1:5" x14ac:dyDescent="0.25">
      <c r="A33" t="s">
        <v>127</v>
      </c>
      <c r="B33" t="s">
        <v>0</v>
      </c>
      <c r="C33" t="s">
        <v>4</v>
      </c>
      <c r="D33" t="s">
        <v>0</v>
      </c>
      <c r="E33" t="s">
        <v>4</v>
      </c>
    </row>
    <row r="34" spans="1:5" x14ac:dyDescent="0.25">
      <c r="A34" t="s">
        <v>481</v>
      </c>
      <c r="B34" t="s">
        <v>0</v>
      </c>
      <c r="C34" t="s">
        <v>482</v>
      </c>
      <c r="D34" t="s">
        <v>0</v>
      </c>
      <c r="E34" t="s">
        <v>482</v>
      </c>
    </row>
    <row r="35" spans="1:5" x14ac:dyDescent="0.25">
      <c r="A35" t="s">
        <v>130</v>
      </c>
      <c r="B35" t="s">
        <v>0</v>
      </c>
      <c r="C35" t="s">
        <v>483</v>
      </c>
      <c r="D35" t="s">
        <v>0</v>
      </c>
      <c r="E35" t="s">
        <v>484</v>
      </c>
    </row>
    <row r="36" spans="1:5" x14ac:dyDescent="0.25">
      <c r="A36" t="s">
        <v>133</v>
      </c>
      <c r="B36" t="s">
        <v>0</v>
      </c>
      <c r="C36" t="s">
        <v>485</v>
      </c>
      <c r="D36" t="s">
        <v>0</v>
      </c>
      <c r="E36" t="s">
        <v>134</v>
      </c>
    </row>
    <row r="37" spans="1:5" x14ac:dyDescent="0.25">
      <c r="A37" t="s">
        <v>136</v>
      </c>
      <c r="B37" t="s">
        <v>0</v>
      </c>
      <c r="C37" t="s">
        <v>486</v>
      </c>
      <c r="D37" t="s">
        <v>0</v>
      </c>
      <c r="E37" t="s">
        <v>137</v>
      </c>
    </row>
    <row r="38" spans="1:5" x14ac:dyDescent="0.25">
      <c r="A38" t="s">
        <v>139</v>
      </c>
      <c r="B38" t="s">
        <v>0</v>
      </c>
      <c r="C38" t="s">
        <v>487</v>
      </c>
      <c r="D38" t="s">
        <v>0</v>
      </c>
      <c r="E38" t="s">
        <v>140</v>
      </c>
    </row>
    <row r="39" spans="1:5" x14ac:dyDescent="0.25">
      <c r="A39" t="s">
        <v>142</v>
      </c>
      <c r="B39" t="s">
        <v>3</v>
      </c>
      <c r="C39" t="s">
        <v>470</v>
      </c>
      <c r="D39" t="s">
        <v>3</v>
      </c>
      <c r="E39" t="s">
        <v>93</v>
      </c>
    </row>
  </sheetData>
  <pageMargins left="0.7" right="0.7" top="0.75" bottom="0.75" header="0.3" footer="0.3"/>
  <ignoredErrors>
    <ignoredError sqref="A1:E3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tabColor theme="3" tint="-0.249977111117893"/>
  </sheetPr>
  <dimension ref="A1:G24"/>
  <sheetViews>
    <sheetView workbookViewId="0">
      <selection activeCell="C12" sqref="C12"/>
    </sheetView>
  </sheetViews>
  <sheetFormatPr defaultRowHeight="15.75" x14ac:dyDescent="0.25"/>
  <cols>
    <col min="1" max="1" width="52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31</v>
      </c>
      <c r="B2" t="s">
        <v>3</v>
      </c>
      <c r="C2" t="s">
        <v>452</v>
      </c>
      <c r="D2" t="s">
        <v>3</v>
      </c>
      <c r="E2" t="s">
        <v>40</v>
      </c>
      <c r="F2" t="s">
        <v>3</v>
      </c>
      <c r="G2" t="s">
        <v>41</v>
      </c>
    </row>
    <row r="3" spans="1:7" x14ac:dyDescent="0.25">
      <c r="A3" t="s">
        <v>43</v>
      </c>
      <c r="B3" t="s">
        <v>0</v>
      </c>
      <c r="C3" t="s">
        <v>455</v>
      </c>
      <c r="D3" t="s">
        <v>0</v>
      </c>
      <c r="E3" t="s">
        <v>51</v>
      </c>
      <c r="F3" t="s">
        <v>0</v>
      </c>
      <c r="G3" t="s">
        <v>52</v>
      </c>
    </row>
    <row r="4" spans="1:7" x14ac:dyDescent="0.25">
      <c r="A4" t="s">
        <v>144</v>
      </c>
      <c r="B4" t="s">
        <v>0</v>
      </c>
      <c r="C4" t="s">
        <v>488</v>
      </c>
      <c r="D4" t="s">
        <v>0</v>
      </c>
      <c r="E4" t="s">
        <v>145</v>
      </c>
      <c r="F4" t="s">
        <v>0</v>
      </c>
      <c r="G4" t="s">
        <v>146</v>
      </c>
    </row>
    <row r="5" spans="1:7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 x14ac:dyDescent="0.25">
      <c r="A6" t="s">
        <v>149</v>
      </c>
      <c r="B6" t="s">
        <v>0</v>
      </c>
      <c r="C6" t="s">
        <v>489</v>
      </c>
      <c r="D6" t="s">
        <v>0</v>
      </c>
      <c r="E6" t="s">
        <v>150</v>
      </c>
      <c r="F6" t="s">
        <v>0</v>
      </c>
      <c r="G6" t="s">
        <v>151</v>
      </c>
    </row>
    <row r="7" spans="1:7" x14ac:dyDescent="0.25">
      <c r="A7" t="s">
        <v>153</v>
      </c>
      <c r="B7" t="s">
        <v>0</v>
      </c>
      <c r="C7" t="s">
        <v>490</v>
      </c>
      <c r="D7" t="s">
        <v>0</v>
      </c>
      <c r="E7" t="s">
        <v>154</v>
      </c>
      <c r="F7" t="s">
        <v>0</v>
      </c>
      <c r="G7" t="s">
        <v>155</v>
      </c>
    </row>
    <row r="8" spans="1:7" x14ac:dyDescent="0.25">
      <c r="A8" t="s">
        <v>157</v>
      </c>
      <c r="B8" t="s">
        <v>0</v>
      </c>
      <c r="C8" t="s">
        <v>491</v>
      </c>
      <c r="D8" t="s">
        <v>0</v>
      </c>
      <c r="E8" t="s">
        <v>158</v>
      </c>
      <c r="F8" t="s">
        <v>0</v>
      </c>
      <c r="G8" t="s">
        <v>159</v>
      </c>
    </row>
    <row r="9" spans="1:7" x14ac:dyDescent="0.25">
      <c r="A9" t="s">
        <v>161</v>
      </c>
      <c r="B9" t="s">
        <v>0</v>
      </c>
      <c r="C9" t="s">
        <v>492</v>
      </c>
      <c r="D9" t="s">
        <v>0</v>
      </c>
      <c r="E9" t="s">
        <v>162</v>
      </c>
      <c r="F9" t="s">
        <v>0</v>
      </c>
      <c r="G9" t="s">
        <v>163</v>
      </c>
    </row>
    <row r="10" spans="1:7" x14ac:dyDescent="0.25">
      <c r="A10" t="s">
        <v>165</v>
      </c>
      <c r="B10" t="s">
        <v>0</v>
      </c>
      <c r="C10" t="s">
        <v>493</v>
      </c>
      <c r="D10" t="s">
        <v>0</v>
      </c>
      <c r="E10" t="s">
        <v>166</v>
      </c>
      <c r="F10" t="s">
        <v>0</v>
      </c>
      <c r="G10" t="s">
        <v>167</v>
      </c>
    </row>
    <row r="11" spans="1:7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495</v>
      </c>
      <c r="B12" t="s">
        <v>0</v>
      </c>
      <c r="C12" t="s">
        <v>496</v>
      </c>
      <c r="D12" t="s">
        <v>0</v>
      </c>
      <c r="E12" t="s">
        <v>497</v>
      </c>
      <c r="F12" t="s">
        <v>0</v>
      </c>
      <c r="G12" t="s">
        <v>172</v>
      </c>
    </row>
    <row r="13" spans="1:7" x14ac:dyDescent="0.25">
      <c r="A13" t="s">
        <v>174</v>
      </c>
      <c r="B13" t="s">
        <v>0</v>
      </c>
      <c r="C13" t="s">
        <v>4</v>
      </c>
      <c r="D13" t="s">
        <v>0</v>
      </c>
      <c r="E13" t="s">
        <v>175</v>
      </c>
      <c r="F13" t="s">
        <v>0</v>
      </c>
      <c r="G13" t="s">
        <v>4</v>
      </c>
    </row>
    <row r="14" spans="1:7" x14ac:dyDescent="0.25">
      <c r="A14" t="s">
        <v>498</v>
      </c>
      <c r="B14" t="s">
        <v>0</v>
      </c>
      <c r="C14" t="s">
        <v>499</v>
      </c>
      <c r="D14" t="s">
        <v>0</v>
      </c>
      <c r="E14" t="s">
        <v>177</v>
      </c>
      <c r="F14" t="s">
        <v>0</v>
      </c>
      <c r="G14" t="s">
        <v>178</v>
      </c>
    </row>
    <row r="15" spans="1:7" x14ac:dyDescent="0.25">
      <c r="A15" t="s">
        <v>500</v>
      </c>
      <c r="B15" t="s">
        <v>0</v>
      </c>
      <c r="C15" t="s">
        <v>501</v>
      </c>
      <c r="D15" t="s">
        <v>0</v>
      </c>
      <c r="E15" t="s">
        <v>8</v>
      </c>
      <c r="F15" t="s">
        <v>0</v>
      </c>
      <c r="G15" t="s">
        <v>9</v>
      </c>
    </row>
    <row r="16" spans="1:7" x14ac:dyDescent="0.25">
      <c r="A16" t="s">
        <v>182</v>
      </c>
      <c r="B16" t="s">
        <v>0</v>
      </c>
      <c r="C16" t="s">
        <v>502</v>
      </c>
      <c r="D16" t="s">
        <v>0</v>
      </c>
      <c r="E16" t="s">
        <v>183</v>
      </c>
      <c r="F16" t="s">
        <v>0</v>
      </c>
      <c r="G16" t="s">
        <v>184</v>
      </c>
    </row>
    <row r="17" spans="1:7" x14ac:dyDescent="0.25">
      <c r="A17" t="s">
        <v>186</v>
      </c>
      <c r="B17" t="s">
        <v>0</v>
      </c>
      <c r="C17" t="s">
        <v>503</v>
      </c>
      <c r="D17" t="s">
        <v>0</v>
      </c>
      <c r="E17" t="s">
        <v>13</v>
      </c>
      <c r="F17" t="s">
        <v>0</v>
      </c>
      <c r="G17" t="s">
        <v>14</v>
      </c>
    </row>
    <row r="18" spans="1:7" x14ac:dyDescent="0.25">
      <c r="A18" t="s">
        <v>187</v>
      </c>
      <c r="B18" t="s">
        <v>3</v>
      </c>
      <c r="C18" t="s">
        <v>504</v>
      </c>
      <c r="D18" t="s">
        <v>3</v>
      </c>
      <c r="E18" t="s">
        <v>188</v>
      </c>
      <c r="F18" t="s">
        <v>3</v>
      </c>
      <c r="G18" t="s">
        <v>189</v>
      </c>
    </row>
    <row r="19" spans="1:7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</row>
    <row r="20" spans="1:7" x14ac:dyDescent="0.25">
      <c r="A20" t="s">
        <v>191</v>
      </c>
      <c r="B20" t="s">
        <v>3</v>
      </c>
      <c r="C20" t="s">
        <v>505</v>
      </c>
      <c r="D20" t="s">
        <v>3</v>
      </c>
      <c r="E20" t="s">
        <v>506</v>
      </c>
      <c r="F20" t="s">
        <v>3</v>
      </c>
      <c r="G20" t="s">
        <v>507</v>
      </c>
    </row>
    <row r="21" spans="1:7" x14ac:dyDescent="0.25">
      <c r="A21" t="s">
        <v>195</v>
      </c>
      <c r="B21" t="s">
        <v>0</v>
      </c>
      <c r="C21" t="s">
        <v>508</v>
      </c>
      <c r="D21" t="s">
        <v>0</v>
      </c>
      <c r="E21" t="s">
        <v>509</v>
      </c>
      <c r="F21" t="s">
        <v>0</v>
      </c>
      <c r="G21" t="s">
        <v>510</v>
      </c>
    </row>
    <row r="22" spans="1:7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</row>
    <row r="23" spans="1:7" x14ac:dyDescent="0.25">
      <c r="A23" t="s">
        <v>199</v>
      </c>
      <c r="B23" t="s">
        <v>3</v>
      </c>
      <c r="C23" t="s">
        <v>511</v>
      </c>
      <c r="D23" t="s">
        <v>3</v>
      </c>
      <c r="E23" t="s">
        <v>512</v>
      </c>
      <c r="F23" t="s">
        <v>3</v>
      </c>
      <c r="G23" t="s">
        <v>513</v>
      </c>
    </row>
    <row r="24" spans="1:7" x14ac:dyDescent="0.25">
      <c r="A24" t="s">
        <v>203</v>
      </c>
      <c r="B24" t="s">
        <v>0</v>
      </c>
      <c r="C24" t="s">
        <v>514</v>
      </c>
      <c r="D24" t="s">
        <v>0</v>
      </c>
      <c r="E24" t="s">
        <v>515</v>
      </c>
      <c r="F24" t="s">
        <v>0</v>
      </c>
      <c r="G24" t="s">
        <v>516</v>
      </c>
    </row>
  </sheetData>
  <pageMargins left="0.7" right="0.7" top="0.75" bottom="0.75" header="0.3" footer="0.3"/>
  <ignoredErrors>
    <ignoredError sqref="A1:G2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G46"/>
  <sheetViews>
    <sheetView topLeftCell="B1" workbookViewId="0">
      <selection activeCell="E13" sqref="E13"/>
    </sheetView>
  </sheetViews>
  <sheetFormatPr defaultRowHeight="15.75" x14ac:dyDescent="0.25"/>
  <cols>
    <col min="1" max="1" width="60.875" customWidth="1"/>
    <col min="2" max="2" width="10.875" customWidth="1"/>
    <col min="3" max="3" width="13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216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187</v>
      </c>
      <c r="B2" t="s">
        <v>3</v>
      </c>
      <c r="C2" t="s">
        <v>504</v>
      </c>
      <c r="D2" t="s">
        <v>3</v>
      </c>
      <c r="E2" t="s">
        <v>188</v>
      </c>
      <c r="F2" t="s">
        <v>3</v>
      </c>
      <c r="G2" t="s">
        <v>189</v>
      </c>
    </row>
    <row r="3" spans="1:7" x14ac:dyDescent="0.25">
      <c r="A3" t="s">
        <v>217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</row>
    <row r="4" spans="1:7" x14ac:dyDescent="0.25">
      <c r="A4" t="s">
        <v>218</v>
      </c>
      <c r="B4" t="s">
        <v>0</v>
      </c>
      <c r="C4" t="s">
        <v>521</v>
      </c>
      <c r="D4" t="s">
        <v>0</v>
      </c>
      <c r="E4" t="s">
        <v>219</v>
      </c>
      <c r="F4" t="s">
        <v>0</v>
      </c>
      <c r="G4" t="s">
        <v>220</v>
      </c>
    </row>
    <row r="5" spans="1:7" x14ac:dyDescent="0.25">
      <c r="A5" t="s">
        <v>522</v>
      </c>
      <c r="B5" t="s">
        <v>0</v>
      </c>
      <c r="C5" t="s">
        <v>523</v>
      </c>
      <c r="D5" t="s">
        <v>0</v>
      </c>
      <c r="E5" t="s">
        <v>223</v>
      </c>
      <c r="F5" t="s">
        <v>0</v>
      </c>
      <c r="G5" t="s">
        <v>224</v>
      </c>
    </row>
    <row r="6" spans="1:7" x14ac:dyDescent="0.25">
      <c r="A6" t="s">
        <v>524</v>
      </c>
      <c r="B6" t="s">
        <v>0</v>
      </c>
      <c r="C6" t="s">
        <v>525</v>
      </c>
      <c r="D6" t="s">
        <v>0</v>
      </c>
      <c r="E6" t="s">
        <v>227</v>
      </c>
      <c r="F6" t="s">
        <v>0</v>
      </c>
      <c r="G6" t="s">
        <v>228</v>
      </c>
    </row>
    <row r="7" spans="1:7" x14ac:dyDescent="0.25">
      <c r="A7" t="s">
        <v>230</v>
      </c>
      <c r="B7" t="s">
        <v>0</v>
      </c>
      <c r="C7" t="s">
        <v>519</v>
      </c>
      <c r="D7" t="s">
        <v>0</v>
      </c>
      <c r="E7" t="s">
        <v>214</v>
      </c>
      <c r="F7" t="s">
        <v>0</v>
      </c>
      <c r="G7" t="s">
        <v>23</v>
      </c>
    </row>
    <row r="8" spans="1:7" x14ac:dyDescent="0.25">
      <c r="A8" t="s">
        <v>231</v>
      </c>
      <c r="B8" t="s">
        <v>0</v>
      </c>
      <c r="C8" t="s">
        <v>526</v>
      </c>
      <c r="D8" t="s">
        <v>0</v>
      </c>
      <c r="E8" t="s">
        <v>232</v>
      </c>
      <c r="F8" t="s">
        <v>0</v>
      </c>
      <c r="G8" t="s">
        <v>233</v>
      </c>
    </row>
    <row r="9" spans="1:7" x14ac:dyDescent="0.25">
      <c r="A9" t="s">
        <v>174</v>
      </c>
      <c r="B9" t="s">
        <v>0</v>
      </c>
      <c r="C9" t="s">
        <v>4</v>
      </c>
      <c r="D9" t="s">
        <v>0</v>
      </c>
      <c r="E9" t="s">
        <v>235</v>
      </c>
      <c r="F9" t="s">
        <v>0</v>
      </c>
      <c r="G9" t="s">
        <v>4</v>
      </c>
    </row>
    <row r="10" spans="1:7" x14ac:dyDescent="0.25">
      <c r="A10" t="s">
        <v>527</v>
      </c>
      <c r="B10" t="s">
        <v>0</v>
      </c>
      <c r="C10" t="s">
        <v>528</v>
      </c>
      <c r="D10" t="s">
        <v>0</v>
      </c>
      <c r="E10" t="s">
        <v>236</v>
      </c>
      <c r="F10" t="s">
        <v>0</v>
      </c>
      <c r="G10" t="s">
        <v>237</v>
      </c>
    </row>
    <row r="11" spans="1:7" x14ac:dyDescent="0.25">
      <c r="A11" t="s">
        <v>239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240</v>
      </c>
      <c r="B12" t="s">
        <v>0</v>
      </c>
      <c r="C12" t="s">
        <v>529</v>
      </c>
      <c r="D12" t="s">
        <v>0</v>
      </c>
      <c r="E12" t="s">
        <v>241</v>
      </c>
      <c r="F12" t="s">
        <v>0</v>
      </c>
      <c r="G12" t="s">
        <v>242</v>
      </c>
    </row>
    <row r="13" spans="1:7" x14ac:dyDescent="0.25">
      <c r="A13" t="s">
        <v>62</v>
      </c>
      <c r="B13" t="s">
        <v>0</v>
      </c>
      <c r="C13" t="s">
        <v>530</v>
      </c>
      <c r="D13" t="s">
        <v>0</v>
      </c>
      <c r="E13" t="s">
        <v>244</v>
      </c>
      <c r="F13" t="s">
        <v>0</v>
      </c>
      <c r="G13" t="s">
        <v>245</v>
      </c>
    </row>
    <row r="14" spans="1:7" x14ac:dyDescent="0.25">
      <c r="A14" t="s">
        <v>65</v>
      </c>
      <c r="B14" t="s">
        <v>0</v>
      </c>
      <c r="C14" t="s">
        <v>531</v>
      </c>
      <c r="D14" t="s">
        <v>0</v>
      </c>
      <c r="E14" t="s">
        <v>247</v>
      </c>
      <c r="F14" t="s">
        <v>0</v>
      </c>
      <c r="G14" t="s">
        <v>248</v>
      </c>
    </row>
    <row r="15" spans="1:7" x14ac:dyDescent="0.25">
      <c r="A15" t="s">
        <v>250</v>
      </c>
      <c r="B15" t="s">
        <v>0</v>
      </c>
      <c r="C15" t="s">
        <v>532</v>
      </c>
      <c r="D15" t="s">
        <v>0</v>
      </c>
      <c r="E15" t="s">
        <v>251</v>
      </c>
      <c r="F15" t="s">
        <v>0</v>
      </c>
      <c r="G15" t="s">
        <v>252</v>
      </c>
    </row>
    <row r="16" spans="1:7" x14ac:dyDescent="0.25">
      <c r="A16" t="s">
        <v>254</v>
      </c>
      <c r="B16" t="s">
        <v>0</v>
      </c>
      <c r="C16" t="s">
        <v>533</v>
      </c>
      <c r="D16" t="s">
        <v>0</v>
      </c>
      <c r="E16" t="s">
        <v>255</v>
      </c>
      <c r="F16" t="s">
        <v>0</v>
      </c>
      <c r="G16" t="s">
        <v>256</v>
      </c>
    </row>
    <row r="17" spans="1:7" x14ac:dyDescent="0.25">
      <c r="A17" t="s">
        <v>97</v>
      </c>
      <c r="B17" t="s">
        <v>0</v>
      </c>
      <c r="C17" t="s">
        <v>534</v>
      </c>
      <c r="D17" t="s">
        <v>0</v>
      </c>
      <c r="E17" t="s">
        <v>258</v>
      </c>
      <c r="F17" t="s">
        <v>0</v>
      </c>
      <c r="G17" t="s">
        <v>259</v>
      </c>
    </row>
    <row r="18" spans="1:7" x14ac:dyDescent="0.25">
      <c r="A18" t="s">
        <v>100</v>
      </c>
      <c r="B18" t="s">
        <v>0</v>
      </c>
      <c r="C18" t="s">
        <v>535</v>
      </c>
      <c r="D18" t="s">
        <v>0</v>
      </c>
      <c r="E18" t="s">
        <v>261</v>
      </c>
      <c r="F18" t="s">
        <v>0</v>
      </c>
      <c r="G18" t="s">
        <v>262</v>
      </c>
    </row>
    <row r="19" spans="1:7" x14ac:dyDescent="0.25">
      <c r="A19" t="s">
        <v>68</v>
      </c>
      <c r="B19" t="s">
        <v>0</v>
      </c>
      <c r="C19" t="s">
        <v>536</v>
      </c>
      <c r="D19" t="s">
        <v>0</v>
      </c>
      <c r="E19" t="s">
        <v>264</v>
      </c>
      <c r="F19" t="s">
        <v>0</v>
      </c>
      <c r="G19" t="s">
        <v>265</v>
      </c>
    </row>
    <row r="20" spans="1:7" x14ac:dyDescent="0.25">
      <c r="A20" t="s">
        <v>103</v>
      </c>
      <c r="B20" t="s">
        <v>0</v>
      </c>
      <c r="C20" t="s">
        <v>537</v>
      </c>
      <c r="D20" t="s">
        <v>0</v>
      </c>
      <c r="E20" t="s">
        <v>267</v>
      </c>
      <c r="F20" t="s">
        <v>0</v>
      </c>
      <c r="G20" t="s">
        <v>268</v>
      </c>
    </row>
    <row r="21" spans="1:7" x14ac:dyDescent="0.25">
      <c r="A21" t="s">
        <v>272</v>
      </c>
      <c r="B21" t="s">
        <v>0</v>
      </c>
      <c r="C21" t="s">
        <v>446</v>
      </c>
      <c r="D21" t="s">
        <v>0</v>
      </c>
      <c r="E21" t="s">
        <v>16</v>
      </c>
      <c r="F21" t="s">
        <v>0</v>
      </c>
      <c r="G21" t="s">
        <v>17</v>
      </c>
    </row>
    <row r="22" spans="1:7" x14ac:dyDescent="0.25">
      <c r="A22" t="s">
        <v>273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</row>
    <row r="23" spans="1:7" x14ac:dyDescent="0.25">
      <c r="A23" t="s">
        <v>274</v>
      </c>
      <c r="B23" t="s">
        <v>0</v>
      </c>
      <c r="C23" t="s">
        <v>449</v>
      </c>
      <c r="D23" t="s">
        <v>0</v>
      </c>
      <c r="E23" t="s">
        <v>25</v>
      </c>
      <c r="F23" t="s">
        <v>0</v>
      </c>
      <c r="G23" t="s">
        <v>26</v>
      </c>
    </row>
    <row r="24" spans="1:7" x14ac:dyDescent="0.25">
      <c r="A24" t="s">
        <v>277</v>
      </c>
      <c r="B24" t="s">
        <v>0</v>
      </c>
      <c r="C24" t="s">
        <v>538</v>
      </c>
      <c r="D24" t="s">
        <v>0</v>
      </c>
      <c r="E24" t="s">
        <v>278</v>
      </c>
      <c r="F24" t="s">
        <v>0</v>
      </c>
      <c r="G24" t="s">
        <v>279</v>
      </c>
    </row>
    <row r="25" spans="1:7" x14ac:dyDescent="0.25">
      <c r="A25" t="s">
        <v>276</v>
      </c>
      <c r="B25" t="s">
        <v>0</v>
      </c>
      <c r="C25" t="s">
        <v>4</v>
      </c>
      <c r="D25" t="s">
        <v>0</v>
      </c>
      <c r="E25" t="s">
        <v>28</v>
      </c>
      <c r="F25" t="s">
        <v>0</v>
      </c>
      <c r="G25" t="s">
        <v>29</v>
      </c>
    </row>
    <row r="26" spans="1:7" x14ac:dyDescent="0.25">
      <c r="A26" t="s">
        <v>457</v>
      </c>
      <c r="B26" t="s">
        <v>0</v>
      </c>
      <c r="C26" t="s">
        <v>539</v>
      </c>
      <c r="D26" t="s">
        <v>0</v>
      </c>
      <c r="E26" t="s">
        <v>284</v>
      </c>
      <c r="F26" t="s">
        <v>0</v>
      </c>
      <c r="G26" t="s">
        <v>4</v>
      </c>
    </row>
    <row r="27" spans="1:7" x14ac:dyDescent="0.25">
      <c r="A27" t="s">
        <v>285</v>
      </c>
      <c r="B27" t="s">
        <v>0</v>
      </c>
      <c r="C27" t="s">
        <v>4</v>
      </c>
      <c r="D27" t="s">
        <v>0</v>
      </c>
      <c r="E27" t="s">
        <v>286</v>
      </c>
      <c r="F27" t="s">
        <v>0</v>
      </c>
      <c r="G27" t="s">
        <v>4</v>
      </c>
    </row>
    <row r="28" spans="1:7" x14ac:dyDescent="0.25">
      <c r="A28" t="s">
        <v>281</v>
      </c>
      <c r="B28" t="s">
        <v>0</v>
      </c>
      <c r="C28" t="s">
        <v>540</v>
      </c>
      <c r="D28" t="s">
        <v>0</v>
      </c>
      <c r="E28" t="s">
        <v>282</v>
      </c>
      <c r="F28" t="s">
        <v>0</v>
      </c>
      <c r="G28" t="s">
        <v>4</v>
      </c>
    </row>
    <row r="29" spans="1:7" x14ac:dyDescent="0.25">
      <c r="A29" t="s">
        <v>287</v>
      </c>
      <c r="B29" t="s">
        <v>0</v>
      </c>
      <c r="C29" t="s">
        <v>447</v>
      </c>
      <c r="D29" t="s">
        <v>0</v>
      </c>
      <c r="E29" t="s">
        <v>19</v>
      </c>
      <c r="F29" t="s">
        <v>0</v>
      </c>
      <c r="G29" t="s">
        <v>20</v>
      </c>
    </row>
    <row r="30" spans="1:7" x14ac:dyDescent="0.25">
      <c r="A30" t="s">
        <v>288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  <row r="31" spans="1:7" x14ac:dyDescent="0.25">
      <c r="A31" t="s">
        <v>289</v>
      </c>
      <c r="B31" t="s">
        <v>0</v>
      </c>
      <c r="C31" t="s">
        <v>517</v>
      </c>
      <c r="D31" t="s">
        <v>0</v>
      </c>
      <c r="E31" t="s">
        <v>212</v>
      </c>
      <c r="F31" t="s">
        <v>0</v>
      </c>
      <c r="G31" t="s">
        <v>209</v>
      </c>
    </row>
    <row r="32" spans="1:7" x14ac:dyDescent="0.25">
      <c r="A32" t="s">
        <v>291</v>
      </c>
      <c r="B32" t="s">
        <v>0</v>
      </c>
      <c r="C32" t="s">
        <v>520</v>
      </c>
      <c r="D32" t="s">
        <v>0</v>
      </c>
      <c r="E32" t="s">
        <v>215</v>
      </c>
      <c r="F32" t="s">
        <v>0</v>
      </c>
      <c r="G32" t="s">
        <v>211</v>
      </c>
    </row>
    <row r="33" spans="1:7" x14ac:dyDescent="0.25">
      <c r="A33" t="s">
        <v>292</v>
      </c>
      <c r="B33" t="s">
        <v>0</v>
      </c>
      <c r="C33" t="s">
        <v>518</v>
      </c>
      <c r="D33" t="s">
        <v>0</v>
      </c>
      <c r="E33" t="s">
        <v>213</v>
      </c>
      <c r="F33" t="s">
        <v>0</v>
      </c>
      <c r="G33" t="s">
        <v>210</v>
      </c>
    </row>
    <row r="34" spans="1:7" x14ac:dyDescent="0.25">
      <c r="A34" t="s">
        <v>541</v>
      </c>
      <c r="B34" t="s">
        <v>0</v>
      </c>
      <c r="C34" t="s">
        <v>542</v>
      </c>
      <c r="D34" t="s">
        <v>0</v>
      </c>
      <c r="E34" t="s">
        <v>4</v>
      </c>
      <c r="F34" t="s">
        <v>0</v>
      </c>
      <c r="G34" t="s">
        <v>4</v>
      </c>
    </row>
    <row r="35" spans="1:7" x14ac:dyDescent="0.25">
      <c r="A35" t="s">
        <v>543</v>
      </c>
      <c r="B35" t="s">
        <v>0</v>
      </c>
      <c r="C35" t="s">
        <v>544</v>
      </c>
      <c r="D35" t="s">
        <v>0</v>
      </c>
      <c r="E35" t="s">
        <v>4</v>
      </c>
      <c r="F35" t="s">
        <v>0</v>
      </c>
      <c r="G35" t="s">
        <v>4</v>
      </c>
    </row>
    <row r="36" spans="1:7" x14ac:dyDescent="0.25">
      <c r="A36" t="s">
        <v>294</v>
      </c>
      <c r="B36" t="s">
        <v>0</v>
      </c>
      <c r="C36" t="s">
        <v>4</v>
      </c>
      <c r="D36" t="s">
        <v>0</v>
      </c>
      <c r="E36" t="s">
        <v>295</v>
      </c>
      <c r="F36" t="s">
        <v>0</v>
      </c>
      <c r="G36" t="s">
        <v>4</v>
      </c>
    </row>
    <row r="37" spans="1:7" x14ac:dyDescent="0.25">
      <c r="A37" t="s">
        <v>297</v>
      </c>
      <c r="B37" t="s">
        <v>0</v>
      </c>
      <c r="C37" t="s">
        <v>4</v>
      </c>
      <c r="D37" t="s">
        <v>0</v>
      </c>
      <c r="E37" t="s">
        <v>298</v>
      </c>
      <c r="F37" t="s">
        <v>0</v>
      </c>
      <c r="G37" t="s">
        <v>4</v>
      </c>
    </row>
    <row r="38" spans="1:7" x14ac:dyDescent="0.25">
      <c r="A38" t="s">
        <v>299</v>
      </c>
      <c r="B38" t="s">
        <v>0</v>
      </c>
      <c r="C38" t="s">
        <v>545</v>
      </c>
      <c r="D38" t="s">
        <v>0</v>
      </c>
      <c r="E38" t="s">
        <v>300</v>
      </c>
      <c r="F38" t="s">
        <v>0</v>
      </c>
      <c r="G38" t="s">
        <v>301</v>
      </c>
    </row>
    <row r="39" spans="1:7" x14ac:dyDescent="0.25">
      <c r="A39" t="s">
        <v>546</v>
      </c>
      <c r="B39" t="s">
        <v>0</v>
      </c>
      <c r="C39" t="s">
        <v>448</v>
      </c>
      <c r="D39" t="s">
        <v>0</v>
      </c>
      <c r="E39" t="s">
        <v>22</v>
      </c>
      <c r="F39" t="s">
        <v>0</v>
      </c>
      <c r="G39" t="s">
        <v>23</v>
      </c>
    </row>
    <row r="40" spans="1:7" x14ac:dyDescent="0.25">
      <c r="A40" t="s">
        <v>304</v>
      </c>
      <c r="B40" t="s">
        <v>0</v>
      </c>
      <c r="C40" t="s">
        <v>547</v>
      </c>
      <c r="D40" t="s">
        <v>0</v>
      </c>
      <c r="E40" t="s">
        <v>548</v>
      </c>
      <c r="F40" t="s">
        <v>0</v>
      </c>
      <c r="G40" t="s">
        <v>306</v>
      </c>
    </row>
    <row r="41" spans="1:7" x14ac:dyDescent="0.25">
      <c r="A41" t="s">
        <v>549</v>
      </c>
      <c r="B41" t="s">
        <v>0</v>
      </c>
      <c r="C41" t="s">
        <v>550</v>
      </c>
      <c r="D41" t="s">
        <v>0</v>
      </c>
      <c r="E41" t="s">
        <v>309</v>
      </c>
      <c r="F41" t="s">
        <v>0</v>
      </c>
      <c r="G41" t="s">
        <v>310</v>
      </c>
    </row>
    <row r="42" spans="1:7" x14ac:dyDescent="0.25">
      <c r="A42" t="s">
        <v>312</v>
      </c>
      <c r="B42" t="s">
        <v>0</v>
      </c>
      <c r="C42" t="s">
        <v>57</v>
      </c>
      <c r="D42" t="s">
        <v>0</v>
      </c>
      <c r="E42" t="s">
        <v>58</v>
      </c>
      <c r="F42" t="s">
        <v>0</v>
      </c>
      <c r="G42" t="s">
        <v>313</v>
      </c>
    </row>
    <row r="43" spans="1:7" x14ac:dyDescent="0.25">
      <c r="A43" t="s">
        <v>315</v>
      </c>
      <c r="B43" t="s">
        <v>3</v>
      </c>
      <c r="C43" t="s">
        <v>456</v>
      </c>
      <c r="D43" t="s">
        <v>3</v>
      </c>
      <c r="E43" t="s">
        <v>57</v>
      </c>
      <c r="F43" t="s">
        <v>3</v>
      </c>
      <c r="G43" t="s">
        <v>58</v>
      </c>
    </row>
    <row r="44" spans="1:7" x14ac:dyDescent="0.25">
      <c r="A44" t="s">
        <v>316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</row>
    <row r="45" spans="1:7" x14ac:dyDescent="0.25">
      <c r="A45" t="s">
        <v>317</v>
      </c>
      <c r="B45" t="s">
        <v>3</v>
      </c>
      <c r="C45" t="s">
        <v>551</v>
      </c>
      <c r="D45" t="s">
        <v>3</v>
      </c>
      <c r="E45" t="s">
        <v>318</v>
      </c>
      <c r="F45" t="s">
        <v>3</v>
      </c>
      <c r="G45" t="s">
        <v>319</v>
      </c>
    </row>
    <row r="46" spans="1:7" x14ac:dyDescent="0.25">
      <c r="A46" t="s">
        <v>321</v>
      </c>
      <c r="B46" t="s">
        <v>3</v>
      </c>
      <c r="C46" t="s">
        <v>552</v>
      </c>
      <c r="D46" t="s">
        <v>3</v>
      </c>
      <c r="E46" t="s">
        <v>322</v>
      </c>
      <c r="F46" t="s">
        <v>3</v>
      </c>
      <c r="G46" t="s">
        <v>323</v>
      </c>
    </row>
  </sheetData>
  <pageMargins left="0.7" right="0.7" top="0.75" bottom="0.75" header="0.3" footer="0.3"/>
  <ignoredErrors>
    <ignoredError sqref="A1:G4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F8"/>
  <sheetViews>
    <sheetView workbookViewId="0"/>
  </sheetViews>
  <sheetFormatPr defaultRowHeight="15.75" x14ac:dyDescent="0.25"/>
  <cols>
    <col min="1" max="1" width="49.875" customWidth="1"/>
    <col min="2" max="2" width="10.875" customWidth="1"/>
    <col min="3" max="3" width="11.875" customWidth="1"/>
    <col min="4" max="5" width="10.875" customWidth="1"/>
    <col min="6" max="6" width="11.875" customWidth="1"/>
  </cols>
  <sheetData>
    <row r="1" spans="1:6" x14ac:dyDescent="0.25">
      <c r="A1" t="s">
        <v>326</v>
      </c>
      <c r="B1" t="s">
        <v>3</v>
      </c>
      <c r="C1" t="s">
        <v>553</v>
      </c>
      <c r="D1" t="s">
        <v>3</v>
      </c>
      <c r="E1" t="s">
        <v>0</v>
      </c>
      <c r="F1" t="s">
        <v>327</v>
      </c>
    </row>
    <row r="2" spans="1:6" x14ac:dyDescent="0.25">
      <c r="A2" t="s">
        <v>329</v>
      </c>
      <c r="B2" t="s">
        <v>0</v>
      </c>
      <c r="C2" t="s">
        <v>554</v>
      </c>
      <c r="D2" t="s">
        <v>0</v>
      </c>
      <c r="E2" t="s">
        <v>0</v>
      </c>
      <c r="F2" t="s">
        <v>330</v>
      </c>
    </row>
    <row r="3" spans="1:6" x14ac:dyDescent="0.25">
      <c r="A3" t="s">
        <v>332</v>
      </c>
      <c r="B3" t="s">
        <v>0</v>
      </c>
      <c r="C3" t="s">
        <v>555</v>
      </c>
      <c r="D3" t="s">
        <v>0</v>
      </c>
      <c r="E3" t="s">
        <v>0</v>
      </c>
      <c r="F3" t="s">
        <v>333</v>
      </c>
    </row>
    <row r="4" spans="1:6" x14ac:dyDescent="0.25">
      <c r="A4" t="s">
        <v>335</v>
      </c>
      <c r="B4" t="s">
        <v>0</v>
      </c>
      <c r="C4" t="s">
        <v>556</v>
      </c>
      <c r="D4" t="s">
        <v>0</v>
      </c>
      <c r="E4" t="s">
        <v>0</v>
      </c>
      <c r="F4" t="s">
        <v>336</v>
      </c>
    </row>
    <row r="5" spans="1:6" x14ac:dyDescent="0.25">
      <c r="A5" t="s">
        <v>338</v>
      </c>
      <c r="B5" t="s">
        <v>0</v>
      </c>
      <c r="C5" t="s">
        <v>557</v>
      </c>
      <c r="D5" t="s">
        <v>0</v>
      </c>
      <c r="E5" t="s">
        <v>0</v>
      </c>
      <c r="F5" t="s">
        <v>339</v>
      </c>
    </row>
    <row r="6" spans="1:6" x14ac:dyDescent="0.25">
      <c r="A6" t="s">
        <v>0</v>
      </c>
      <c r="B6" t="s">
        <v>0</v>
      </c>
      <c r="C6" t="s">
        <v>558</v>
      </c>
      <c r="D6" t="s">
        <v>0</v>
      </c>
      <c r="E6" t="s">
        <v>0</v>
      </c>
      <c r="F6" t="s">
        <v>341</v>
      </c>
    </row>
    <row r="7" spans="1:6" x14ac:dyDescent="0.25">
      <c r="A7" t="s">
        <v>343</v>
      </c>
      <c r="B7" t="s">
        <v>0</v>
      </c>
      <c r="C7" t="s">
        <v>559</v>
      </c>
      <c r="D7" t="s">
        <v>0</v>
      </c>
      <c r="E7" t="s">
        <v>0</v>
      </c>
      <c r="F7" t="s">
        <v>344</v>
      </c>
    </row>
    <row r="8" spans="1:6" x14ac:dyDescent="0.25">
      <c r="A8" t="s">
        <v>77</v>
      </c>
      <c r="B8" t="s">
        <v>3</v>
      </c>
      <c r="C8" t="s">
        <v>465</v>
      </c>
      <c r="D8" t="s">
        <v>3</v>
      </c>
      <c r="E8" t="s">
        <v>0</v>
      </c>
      <c r="F8" t="s">
        <v>78</v>
      </c>
    </row>
  </sheetData>
  <pageMargins left="0.7" right="0.7" top="0.75" bottom="0.75" header="0.3" footer="0.3"/>
  <ignoredErrors>
    <ignoredError sqref="A1:F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D3"/>
  <sheetViews>
    <sheetView workbookViewId="0"/>
  </sheetViews>
  <sheetFormatPr defaultRowHeight="15.75" x14ac:dyDescent="0.25"/>
  <cols>
    <col min="1" max="1" width="60.875" customWidth="1"/>
    <col min="2" max="4" width="10.875" customWidth="1"/>
  </cols>
  <sheetData>
    <row r="1" spans="1:4" x14ac:dyDescent="0.25">
      <c r="A1" t="s">
        <v>195</v>
      </c>
      <c r="B1" t="s">
        <v>508</v>
      </c>
      <c r="C1" t="s">
        <v>509</v>
      </c>
      <c r="D1" t="s">
        <v>510</v>
      </c>
    </row>
    <row r="2" spans="1:4" x14ac:dyDescent="0.25">
      <c r="A2" t="s">
        <v>372</v>
      </c>
      <c r="B2" t="s">
        <v>561</v>
      </c>
      <c r="C2" t="s">
        <v>562</v>
      </c>
      <c r="D2" t="s">
        <v>563</v>
      </c>
    </row>
    <row r="3" spans="1:4" x14ac:dyDescent="0.25">
      <c r="A3" t="s">
        <v>376</v>
      </c>
      <c r="B3" t="s">
        <v>514</v>
      </c>
      <c r="C3" t="s">
        <v>515</v>
      </c>
      <c r="D3" t="s">
        <v>516</v>
      </c>
    </row>
  </sheetData>
  <pageMargins left="0.7" right="0.7" top="0.75" bottom="0.75" header="0.3" footer="0.3"/>
  <ignoredErrors>
    <ignoredError sqref="A1:D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/>
  <dimension ref="A1:H12"/>
  <sheetViews>
    <sheetView workbookViewId="0"/>
  </sheetViews>
  <sheetFormatPr defaultRowHeight="15.75" x14ac:dyDescent="0.25"/>
  <cols>
    <col min="1" max="1" width="53.875" customWidth="1"/>
    <col min="2" max="3" width="10.875" customWidth="1"/>
    <col min="4" max="4" width="11.875" customWidth="1"/>
    <col min="5" max="7" width="10.875" customWidth="1"/>
    <col min="8" max="8" width="11.875" customWidth="1"/>
  </cols>
  <sheetData>
    <row r="1" spans="1:8" x14ac:dyDescent="0.25">
      <c r="A1" t="s">
        <v>31</v>
      </c>
      <c r="B1" t="s">
        <v>0</v>
      </c>
      <c r="C1" t="s">
        <v>3</v>
      </c>
      <c r="D1" t="s">
        <v>450</v>
      </c>
      <c r="E1" t="s">
        <v>3</v>
      </c>
      <c r="F1" t="s">
        <v>451</v>
      </c>
      <c r="G1" t="s">
        <v>3</v>
      </c>
      <c r="H1" t="s">
        <v>452</v>
      </c>
    </row>
    <row r="2" spans="1:8" x14ac:dyDescent="0.25">
      <c r="A2" t="s">
        <v>43</v>
      </c>
      <c r="B2" t="s">
        <v>0</v>
      </c>
      <c r="C2" t="s">
        <v>0</v>
      </c>
      <c r="D2" t="s">
        <v>453</v>
      </c>
      <c r="E2" t="s">
        <v>0</v>
      </c>
      <c r="F2" t="s">
        <v>454</v>
      </c>
      <c r="G2" t="s">
        <v>0</v>
      </c>
      <c r="H2" t="s">
        <v>455</v>
      </c>
    </row>
    <row r="3" spans="1:8" x14ac:dyDescent="0.25">
      <c r="A3" t="s">
        <v>144</v>
      </c>
      <c r="B3" t="s">
        <v>0</v>
      </c>
      <c r="C3" t="s">
        <v>0</v>
      </c>
      <c r="D3" t="s">
        <v>564</v>
      </c>
      <c r="E3" t="s">
        <v>0</v>
      </c>
      <c r="F3" t="s">
        <v>565</v>
      </c>
      <c r="G3" t="s">
        <v>0</v>
      </c>
      <c r="H3" t="s">
        <v>488</v>
      </c>
    </row>
    <row r="4" spans="1:8" x14ac:dyDescent="0.25">
      <c r="A4" t="s">
        <v>149</v>
      </c>
      <c r="B4" t="s">
        <v>0</v>
      </c>
      <c r="C4" t="s">
        <v>0</v>
      </c>
      <c r="D4" t="s">
        <v>566</v>
      </c>
      <c r="E4" t="s">
        <v>0</v>
      </c>
      <c r="F4" t="s">
        <v>567</v>
      </c>
      <c r="G4" t="s">
        <v>0</v>
      </c>
      <c r="H4" t="s">
        <v>489</v>
      </c>
    </row>
    <row r="5" spans="1:8" x14ac:dyDescent="0.25">
      <c r="A5" t="s">
        <v>153</v>
      </c>
      <c r="B5" t="s">
        <v>0</v>
      </c>
      <c r="C5" t="s">
        <v>0</v>
      </c>
      <c r="D5" t="s">
        <v>568</v>
      </c>
      <c r="E5" t="s">
        <v>0</v>
      </c>
      <c r="F5" t="s">
        <v>569</v>
      </c>
      <c r="G5" t="s">
        <v>0</v>
      </c>
      <c r="H5" t="s">
        <v>490</v>
      </c>
    </row>
    <row r="6" spans="1:8" x14ac:dyDescent="0.25">
      <c r="A6" t="s">
        <v>157</v>
      </c>
      <c r="B6" t="s">
        <v>0</v>
      </c>
      <c r="C6" t="s">
        <v>0</v>
      </c>
      <c r="D6" t="s">
        <v>570</v>
      </c>
      <c r="E6" t="s">
        <v>0</v>
      </c>
      <c r="F6" t="s">
        <v>571</v>
      </c>
      <c r="G6" t="s">
        <v>0</v>
      </c>
      <c r="H6" t="s">
        <v>491</v>
      </c>
    </row>
    <row r="7" spans="1:8" x14ac:dyDescent="0.25">
      <c r="A7" t="s">
        <v>165</v>
      </c>
      <c r="B7" t="s">
        <v>0</v>
      </c>
      <c r="C7" t="s">
        <v>3</v>
      </c>
      <c r="D7" t="s">
        <v>572</v>
      </c>
      <c r="E7" t="s">
        <v>3</v>
      </c>
      <c r="F7" t="s">
        <v>573</v>
      </c>
      <c r="G7" t="s">
        <v>3</v>
      </c>
      <c r="H7" t="s">
        <v>493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0</v>
      </c>
      <c r="C9" t="s">
        <v>3</v>
      </c>
      <c r="D9" t="s">
        <v>574</v>
      </c>
      <c r="E9" t="s">
        <v>3</v>
      </c>
      <c r="F9" t="s">
        <v>575</v>
      </c>
      <c r="G9" t="s">
        <v>3</v>
      </c>
      <c r="H9" t="s">
        <v>576</v>
      </c>
    </row>
    <row r="10" spans="1:8" x14ac:dyDescent="0.25">
      <c r="A10" t="s">
        <v>402</v>
      </c>
      <c r="B10" t="s">
        <v>0</v>
      </c>
      <c r="C10" t="s">
        <v>0</v>
      </c>
      <c r="D10" t="s">
        <v>577</v>
      </c>
      <c r="E10" t="s">
        <v>0</v>
      </c>
      <c r="F10" t="s">
        <v>578</v>
      </c>
      <c r="G10" t="s">
        <v>0</v>
      </c>
      <c r="H10" t="s">
        <v>579</v>
      </c>
    </row>
    <row r="11" spans="1:8" x14ac:dyDescent="0.25">
      <c r="A11" t="s">
        <v>92</v>
      </c>
      <c r="B11" t="s">
        <v>0</v>
      </c>
      <c r="C11" t="s">
        <v>0</v>
      </c>
      <c r="D11" t="s">
        <v>580</v>
      </c>
      <c r="E11" t="s">
        <v>0</v>
      </c>
      <c r="F11" t="s">
        <v>581</v>
      </c>
      <c r="G11" t="s">
        <v>0</v>
      </c>
      <c r="H11" t="s">
        <v>470</v>
      </c>
    </row>
    <row r="12" spans="1:8" x14ac:dyDescent="0.25">
      <c r="A12" t="s">
        <v>86</v>
      </c>
      <c r="B12" t="s">
        <v>0</v>
      </c>
      <c r="C12" t="s">
        <v>0</v>
      </c>
      <c r="D12" t="s">
        <v>408</v>
      </c>
      <c r="E12" t="s">
        <v>0</v>
      </c>
      <c r="F12" t="s">
        <v>582</v>
      </c>
      <c r="G12" t="s">
        <v>0</v>
      </c>
      <c r="H12" t="s">
        <v>468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/>
  <dimension ref="A1:I12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32</v>
      </c>
      <c r="F1" t="s">
        <v>3</v>
      </c>
      <c r="G1" t="s">
        <v>36</v>
      </c>
      <c r="H1" t="s">
        <v>3</v>
      </c>
      <c r="I1" t="s">
        <v>40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44</v>
      </c>
      <c r="F2" t="s">
        <v>0</v>
      </c>
      <c r="G2" t="s">
        <v>47</v>
      </c>
      <c r="H2" t="s">
        <v>0</v>
      </c>
      <c r="I2" t="s">
        <v>51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388</v>
      </c>
      <c r="F3" t="s">
        <v>0</v>
      </c>
      <c r="G3" t="s">
        <v>389</v>
      </c>
      <c r="H3" t="s">
        <v>0</v>
      </c>
      <c r="I3" t="s">
        <v>145</v>
      </c>
    </row>
    <row r="4" spans="1:9" x14ac:dyDescent="0.25">
      <c r="A4" t="s">
        <v>149</v>
      </c>
      <c r="B4" t="s">
        <v>0</v>
      </c>
      <c r="C4" t="s">
        <v>0</v>
      </c>
      <c r="D4" t="s">
        <v>0</v>
      </c>
      <c r="E4" t="s">
        <v>390</v>
      </c>
      <c r="F4" t="s">
        <v>0</v>
      </c>
      <c r="G4" t="s">
        <v>391</v>
      </c>
      <c r="H4" t="s">
        <v>0</v>
      </c>
      <c r="I4" t="s">
        <v>150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392</v>
      </c>
      <c r="F5" t="s">
        <v>0</v>
      </c>
      <c r="G5" t="s">
        <v>393</v>
      </c>
      <c r="H5" t="s">
        <v>0</v>
      </c>
      <c r="I5" t="s">
        <v>154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394</v>
      </c>
      <c r="F6" t="s">
        <v>0</v>
      </c>
      <c r="G6" t="s">
        <v>395</v>
      </c>
      <c r="H6" t="s">
        <v>0</v>
      </c>
      <c r="I6" t="s">
        <v>158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396</v>
      </c>
      <c r="F7" t="s">
        <v>3</v>
      </c>
      <c r="G7" t="s">
        <v>397</v>
      </c>
      <c r="H7" t="s">
        <v>3</v>
      </c>
      <c r="I7" t="s">
        <v>166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399</v>
      </c>
      <c r="F9" t="s">
        <v>3</v>
      </c>
      <c r="G9" t="s">
        <v>400</v>
      </c>
      <c r="H9" t="s">
        <v>3</v>
      </c>
      <c r="I9" t="s">
        <v>401</v>
      </c>
    </row>
    <row r="10" spans="1:9" x14ac:dyDescent="0.25">
      <c r="A10" t="s">
        <v>402</v>
      </c>
      <c r="B10" t="s">
        <v>0</v>
      </c>
      <c r="C10" t="s">
        <v>0</v>
      </c>
      <c r="D10" t="s">
        <v>0</v>
      </c>
      <c r="E10" t="s">
        <v>403</v>
      </c>
      <c r="F10" t="s">
        <v>0</v>
      </c>
      <c r="G10" t="s">
        <v>404</v>
      </c>
      <c r="H10" t="s">
        <v>0</v>
      </c>
      <c r="I10" t="s">
        <v>405</v>
      </c>
    </row>
    <row r="11" spans="1:9" x14ac:dyDescent="0.25">
      <c r="A11" t="s">
        <v>92</v>
      </c>
      <c r="B11" t="s">
        <v>0</v>
      </c>
      <c r="C11" t="s">
        <v>0</v>
      </c>
      <c r="D11" t="s">
        <v>0</v>
      </c>
      <c r="E11" t="s">
        <v>406</v>
      </c>
      <c r="F11" t="s">
        <v>0</v>
      </c>
      <c r="G11" t="s">
        <v>407</v>
      </c>
      <c r="H11" t="s">
        <v>0</v>
      </c>
      <c r="I11" t="s">
        <v>93</v>
      </c>
    </row>
    <row r="12" spans="1:9" x14ac:dyDescent="0.25">
      <c r="A12" t="s">
        <v>86</v>
      </c>
      <c r="B12" t="s">
        <v>0</v>
      </c>
      <c r="C12" t="s">
        <v>0</v>
      </c>
      <c r="D12" t="s">
        <v>0</v>
      </c>
      <c r="E12" t="s">
        <v>408</v>
      </c>
      <c r="F12" t="s">
        <v>0</v>
      </c>
      <c r="G12" t="s">
        <v>409</v>
      </c>
      <c r="H12" t="s">
        <v>0</v>
      </c>
      <c r="I12" t="s">
        <v>87</v>
      </c>
    </row>
  </sheetData>
  <pageMargins left="0.7" right="0.7" top="0.75" bottom="0.75" header="0.3" footer="0.3"/>
  <ignoredErrors>
    <ignoredError sqref="A1:I1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/>
  <dimension ref="A1:I10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33</v>
      </c>
      <c r="F1" t="s">
        <v>3</v>
      </c>
      <c r="G1" t="s">
        <v>37</v>
      </c>
      <c r="H1" t="s">
        <v>3</v>
      </c>
      <c r="I1" t="s">
        <v>41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45</v>
      </c>
      <c r="F2" t="s">
        <v>0</v>
      </c>
      <c r="G2" t="s">
        <v>48</v>
      </c>
      <c r="H2" t="s">
        <v>0</v>
      </c>
      <c r="I2" t="s">
        <v>52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410</v>
      </c>
      <c r="F3" t="s">
        <v>0</v>
      </c>
      <c r="G3" t="s">
        <v>411</v>
      </c>
      <c r="H3" t="s">
        <v>0</v>
      </c>
      <c r="I3" t="s">
        <v>146</v>
      </c>
    </row>
    <row r="4" spans="1:9" x14ac:dyDescent="0.25">
      <c r="A4" t="s">
        <v>149</v>
      </c>
      <c r="B4" t="s">
        <v>0</v>
      </c>
      <c r="C4" t="s">
        <v>0</v>
      </c>
      <c r="D4" t="s">
        <v>0</v>
      </c>
      <c r="E4" t="s">
        <v>412</v>
      </c>
      <c r="F4" t="s">
        <v>0</v>
      </c>
      <c r="G4" t="s">
        <v>413</v>
      </c>
      <c r="H4" t="s">
        <v>0</v>
      </c>
      <c r="I4" t="s">
        <v>151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414</v>
      </c>
      <c r="F5" t="s">
        <v>0</v>
      </c>
      <c r="G5" t="s">
        <v>415</v>
      </c>
      <c r="H5" t="s">
        <v>0</v>
      </c>
      <c r="I5" t="s">
        <v>155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416</v>
      </c>
      <c r="F6" t="s">
        <v>0</v>
      </c>
      <c r="G6" t="s">
        <v>417</v>
      </c>
      <c r="H6" t="s">
        <v>0</v>
      </c>
      <c r="I6" t="s">
        <v>159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418</v>
      </c>
      <c r="F7" t="s">
        <v>3</v>
      </c>
      <c r="G7" t="s">
        <v>419</v>
      </c>
      <c r="H7" t="s">
        <v>3</v>
      </c>
      <c r="I7" t="s">
        <v>167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420</v>
      </c>
      <c r="F9" t="s">
        <v>3</v>
      </c>
      <c r="G9" t="s">
        <v>421</v>
      </c>
      <c r="H9" t="s">
        <v>3</v>
      </c>
      <c r="I9" t="s">
        <v>422</v>
      </c>
    </row>
    <row r="10" spans="1:9" x14ac:dyDescent="0.25">
      <c r="A10" t="s">
        <v>402</v>
      </c>
      <c r="B10" t="s">
        <v>0</v>
      </c>
      <c r="C10" t="s">
        <v>0</v>
      </c>
      <c r="D10" t="s">
        <v>0</v>
      </c>
      <c r="E10" t="s">
        <v>423</v>
      </c>
      <c r="F10" t="s">
        <v>0</v>
      </c>
      <c r="G10" t="s">
        <v>424</v>
      </c>
      <c r="H10" t="s">
        <v>0</v>
      </c>
      <c r="I10" t="s">
        <v>425</v>
      </c>
    </row>
  </sheetData>
  <pageMargins left="0.7" right="0.7" top="0.75" bottom="0.75" header="0.3" footer="0.3"/>
  <ignoredErrors>
    <ignoredError sqref="A1:I1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/>
  <dimension ref="A1:G4"/>
  <sheetViews>
    <sheetView workbookViewId="0"/>
  </sheetViews>
  <sheetFormatPr defaultRowHeight="15.75" x14ac:dyDescent="0.25"/>
  <cols>
    <col min="1" max="1" width="24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588</v>
      </c>
      <c r="D2" t="s">
        <v>3</v>
      </c>
      <c r="E2" t="s">
        <v>450</v>
      </c>
      <c r="F2" t="s">
        <v>3</v>
      </c>
      <c r="G2" t="s">
        <v>32</v>
      </c>
    </row>
    <row r="3" spans="1:7" x14ac:dyDescent="0.25">
      <c r="A3" t="s">
        <v>35</v>
      </c>
      <c r="B3" t="s">
        <v>0</v>
      </c>
      <c r="C3" t="s">
        <v>589</v>
      </c>
      <c r="D3" t="s">
        <v>0</v>
      </c>
      <c r="E3" t="s">
        <v>451</v>
      </c>
      <c r="F3" t="s">
        <v>0</v>
      </c>
      <c r="G3" t="s">
        <v>36</v>
      </c>
    </row>
    <row r="4" spans="1:7" x14ac:dyDescent="0.25">
      <c r="A4" t="s">
        <v>39</v>
      </c>
      <c r="B4" t="s">
        <v>3</v>
      </c>
      <c r="C4" t="s">
        <v>590</v>
      </c>
      <c r="D4" t="s">
        <v>3</v>
      </c>
      <c r="E4" t="s">
        <v>452</v>
      </c>
      <c r="F4" t="s">
        <v>3</v>
      </c>
      <c r="G4" t="s">
        <v>40</v>
      </c>
    </row>
  </sheetData>
  <pageMargins left="0.7" right="0.7" top="0.75" bottom="0.75" header="0.3" footer="0.3"/>
  <ignoredErrors>
    <ignoredError sqref="A1:G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/>
  <dimension ref="A1:G4"/>
  <sheetViews>
    <sheetView workbookViewId="0"/>
  </sheetViews>
  <sheetFormatPr defaultRowHeight="15.75" x14ac:dyDescent="0.25"/>
  <cols>
    <col min="1" max="1" width="21.875" customWidth="1"/>
    <col min="2" max="7" width="10.875" customWidth="1"/>
  </cols>
  <sheetData>
    <row r="1" spans="1:7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591</v>
      </c>
      <c r="D2" t="s">
        <v>3</v>
      </c>
      <c r="E2" t="s">
        <v>453</v>
      </c>
      <c r="F2" t="s">
        <v>3</v>
      </c>
      <c r="G2" t="s">
        <v>44</v>
      </c>
    </row>
    <row r="3" spans="1:7" x14ac:dyDescent="0.25">
      <c r="A3" t="s">
        <v>35</v>
      </c>
      <c r="B3" t="s">
        <v>0</v>
      </c>
      <c r="C3" t="s">
        <v>592</v>
      </c>
      <c r="D3" t="s">
        <v>0</v>
      </c>
      <c r="E3" t="s">
        <v>454</v>
      </c>
      <c r="F3" t="s">
        <v>0</v>
      </c>
      <c r="G3" t="s">
        <v>47</v>
      </c>
    </row>
    <row r="4" spans="1:7" x14ac:dyDescent="0.25">
      <c r="A4" t="s">
        <v>50</v>
      </c>
      <c r="B4" t="s">
        <v>3</v>
      </c>
      <c r="C4" t="s">
        <v>593</v>
      </c>
      <c r="D4" t="s">
        <v>3</v>
      </c>
      <c r="E4" t="s">
        <v>455</v>
      </c>
      <c r="F4" t="s">
        <v>3</v>
      </c>
      <c r="G4" t="s">
        <v>51</v>
      </c>
    </row>
  </sheetData>
  <pageMargins left="0.7" right="0.7" top="0.75" bottom="0.75" header="0.3" footer="0.3"/>
  <ignoredErrors>
    <ignoredError sqref="A1:G4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/>
  <dimension ref="A1:E38"/>
  <sheetViews>
    <sheetView topLeftCell="B1" workbookViewId="0">
      <selection activeCell="B13" sqref="B13"/>
    </sheetView>
  </sheetViews>
  <sheetFormatPr defaultRowHeight="15.75" x14ac:dyDescent="0.25"/>
  <cols>
    <col min="1" max="2" width="60.875" customWidth="1"/>
    <col min="3" max="5" width="11.875" customWidth="1"/>
  </cols>
  <sheetData>
    <row r="1" spans="1:5" x14ac:dyDescent="0.25">
      <c r="A1" t="s">
        <v>54</v>
      </c>
      <c r="B1" t="s">
        <v>0</v>
      </c>
      <c r="C1" t="s">
        <v>0</v>
      </c>
      <c r="D1" t="s">
        <v>0</v>
      </c>
    </row>
    <row r="2" spans="1:5" x14ac:dyDescent="0.25">
      <c r="A2" t="s">
        <v>55</v>
      </c>
      <c r="B2" t="s">
        <v>0</v>
      </c>
      <c r="C2" t="s">
        <v>0</v>
      </c>
      <c r="D2" t="s">
        <v>0</v>
      </c>
    </row>
    <row r="3" spans="1:5" x14ac:dyDescent="0.25">
      <c r="A3" t="s">
        <v>595</v>
      </c>
      <c r="B3" t="s">
        <v>596</v>
      </c>
      <c r="C3" t="s">
        <v>3</v>
      </c>
      <c r="D3" t="s">
        <v>456</v>
      </c>
    </row>
    <row r="4" spans="1:5" x14ac:dyDescent="0.25">
      <c r="A4" t="s">
        <v>457</v>
      </c>
      <c r="B4" t="s">
        <v>597</v>
      </c>
      <c r="C4" t="s">
        <v>0</v>
      </c>
      <c r="D4" t="s">
        <v>458</v>
      </c>
    </row>
    <row r="5" spans="1:5" x14ac:dyDescent="0.25">
      <c r="A5" t="s">
        <v>59</v>
      </c>
      <c r="B5" t="s">
        <v>598</v>
      </c>
      <c r="C5" t="s">
        <v>0</v>
      </c>
      <c r="D5" t="s">
        <v>459</v>
      </c>
    </row>
    <row r="6" spans="1:5" x14ac:dyDescent="0.25">
      <c r="A6" t="s">
        <v>62</v>
      </c>
      <c r="B6" t="s">
        <v>599</v>
      </c>
      <c r="C6" t="s">
        <v>0</v>
      </c>
      <c r="D6" t="s">
        <v>460</v>
      </c>
    </row>
    <row r="7" spans="1:5" x14ac:dyDescent="0.25">
      <c r="A7" t="s">
        <v>65</v>
      </c>
      <c r="B7" t="s">
        <v>600</v>
      </c>
      <c r="C7" t="s">
        <v>0</v>
      </c>
      <c r="D7" t="s">
        <v>461</v>
      </c>
    </row>
    <row r="8" spans="1:5" x14ac:dyDescent="0.25">
      <c r="A8" t="s">
        <v>68</v>
      </c>
      <c r="B8" t="s">
        <v>4</v>
      </c>
      <c r="C8" t="s">
        <v>0</v>
      </c>
      <c r="D8" t="s">
        <v>462</v>
      </c>
    </row>
    <row r="9" spans="1:5" x14ac:dyDescent="0.25">
      <c r="A9" t="s">
        <v>71</v>
      </c>
      <c r="B9" t="s">
        <v>601</v>
      </c>
      <c r="C9" t="s">
        <v>0</v>
      </c>
      <c r="D9" t="s">
        <v>463</v>
      </c>
    </row>
    <row r="10" spans="1:5" x14ac:dyDescent="0.25">
      <c r="A10" t="s">
        <v>74</v>
      </c>
      <c r="B10" t="s">
        <v>602</v>
      </c>
      <c r="C10" t="s">
        <v>0</v>
      </c>
      <c r="D10" t="s">
        <v>464</v>
      </c>
    </row>
    <row r="11" spans="1:5" x14ac:dyDescent="0.25">
      <c r="A11" t="s">
        <v>77</v>
      </c>
      <c r="B11" t="s">
        <v>603</v>
      </c>
      <c r="C11" t="s">
        <v>0</v>
      </c>
      <c r="D11" t="s">
        <v>465</v>
      </c>
    </row>
    <row r="12" spans="1:5" x14ac:dyDescent="0.25">
      <c r="A12" t="s">
        <v>80</v>
      </c>
      <c r="B12" t="s">
        <v>604</v>
      </c>
      <c r="C12" t="s">
        <v>0</v>
      </c>
      <c r="D12" t="s">
        <v>466</v>
      </c>
    </row>
    <row r="13" spans="1:5" x14ac:dyDescent="0.25">
      <c r="A13" t="s">
        <v>83</v>
      </c>
      <c r="B13" t="s">
        <v>1653</v>
      </c>
      <c r="C13" t="s">
        <v>605</v>
      </c>
      <c r="D13" t="s">
        <v>0</v>
      </c>
      <c r="E13" t="s">
        <v>467</v>
      </c>
    </row>
    <row r="14" spans="1:5" x14ac:dyDescent="0.25">
      <c r="A14" t="s">
        <v>86</v>
      </c>
      <c r="B14" t="s">
        <v>0</v>
      </c>
      <c r="C14" t="s">
        <v>606</v>
      </c>
      <c r="D14" t="s">
        <v>0</v>
      </c>
      <c r="E14" t="s">
        <v>468</v>
      </c>
    </row>
    <row r="15" spans="1:5" x14ac:dyDescent="0.25">
      <c r="A15" t="s">
        <v>89</v>
      </c>
      <c r="B15" t="s">
        <v>0</v>
      </c>
      <c r="C15" t="s">
        <v>607</v>
      </c>
      <c r="D15" t="s">
        <v>0</v>
      </c>
      <c r="E15" t="s">
        <v>469</v>
      </c>
    </row>
    <row r="16" spans="1:5" x14ac:dyDescent="0.25">
      <c r="A16" t="s">
        <v>92</v>
      </c>
      <c r="B16" t="s">
        <v>3</v>
      </c>
      <c r="C16" t="s">
        <v>608</v>
      </c>
      <c r="D16" t="s">
        <v>3</v>
      </c>
      <c r="E16" t="s">
        <v>470</v>
      </c>
    </row>
    <row r="17" spans="1:5" x14ac:dyDescent="0.25">
      <c r="A17" t="s">
        <v>0</v>
      </c>
      <c r="B17" t="s">
        <v>609</v>
      </c>
      <c r="C17" t="s">
        <v>0</v>
      </c>
      <c r="D17" t="s">
        <v>0</v>
      </c>
      <c r="E17" t="s">
        <v>0</v>
      </c>
    </row>
    <row r="18" spans="1:5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</row>
    <row r="19" spans="1:5" x14ac:dyDescent="0.25">
      <c r="A19" t="s">
        <v>97</v>
      </c>
      <c r="B19" t="s">
        <v>3</v>
      </c>
      <c r="C19" t="s">
        <v>610</v>
      </c>
      <c r="D19" t="s">
        <v>3</v>
      </c>
      <c r="E19" t="s">
        <v>471</v>
      </c>
    </row>
    <row r="20" spans="1:5" x14ac:dyDescent="0.25">
      <c r="A20" t="s">
        <v>100</v>
      </c>
      <c r="B20" t="s">
        <v>0</v>
      </c>
      <c r="C20" t="s">
        <v>611</v>
      </c>
      <c r="D20" t="s">
        <v>0</v>
      </c>
      <c r="E20" t="s">
        <v>472</v>
      </c>
    </row>
    <row r="21" spans="1:5" x14ac:dyDescent="0.25">
      <c r="A21" t="s">
        <v>103</v>
      </c>
      <c r="B21" t="s">
        <v>0</v>
      </c>
      <c r="C21" t="s">
        <v>612</v>
      </c>
      <c r="D21" t="s">
        <v>0</v>
      </c>
      <c r="E21" t="s">
        <v>473</v>
      </c>
    </row>
    <row r="22" spans="1:5" x14ac:dyDescent="0.25">
      <c r="A22" t="s">
        <v>105</v>
      </c>
      <c r="B22" t="s">
        <v>0</v>
      </c>
      <c r="C22" t="s">
        <v>613</v>
      </c>
      <c r="D22" t="s">
        <v>0</v>
      </c>
      <c r="E22" t="s">
        <v>474</v>
      </c>
    </row>
    <row r="23" spans="1:5" x14ac:dyDescent="0.25">
      <c r="A23" t="s">
        <v>108</v>
      </c>
      <c r="B23" t="s">
        <v>0</v>
      </c>
      <c r="C23" t="s">
        <v>614</v>
      </c>
      <c r="D23" t="s">
        <v>0</v>
      </c>
      <c r="E23" t="s">
        <v>475</v>
      </c>
    </row>
    <row r="24" spans="1:5" x14ac:dyDescent="0.25">
      <c r="A24" t="s">
        <v>111</v>
      </c>
      <c r="B24" t="s">
        <v>0</v>
      </c>
      <c r="C24" t="s">
        <v>615</v>
      </c>
      <c r="D24" t="s">
        <v>0</v>
      </c>
      <c r="E24" t="s">
        <v>476</v>
      </c>
    </row>
    <row r="25" spans="1:5" x14ac:dyDescent="0.25">
      <c r="A25" t="s">
        <v>103</v>
      </c>
      <c r="B25" t="s">
        <v>0</v>
      </c>
      <c r="C25" t="s">
        <v>616</v>
      </c>
      <c r="D25" t="s">
        <v>0</v>
      </c>
      <c r="E25" t="s">
        <v>477</v>
      </c>
    </row>
    <row r="26" spans="1:5" x14ac:dyDescent="0.25">
      <c r="A26" t="s">
        <v>116</v>
      </c>
      <c r="B26" t="s">
        <v>0</v>
      </c>
      <c r="C26" t="s">
        <v>617</v>
      </c>
      <c r="D26" t="s">
        <v>0</v>
      </c>
      <c r="E26" t="s">
        <v>478</v>
      </c>
    </row>
    <row r="27" spans="1:5" x14ac:dyDescent="0.25">
      <c r="A27" t="s">
        <v>119</v>
      </c>
      <c r="B27" t="s">
        <v>0</v>
      </c>
      <c r="C27" t="s">
        <v>4</v>
      </c>
      <c r="D27" t="s">
        <v>0</v>
      </c>
      <c r="E27" t="s">
        <v>479</v>
      </c>
    </row>
    <row r="28" spans="1:5" x14ac:dyDescent="0.25">
      <c r="A28" t="s">
        <v>122</v>
      </c>
      <c r="B28" t="s">
        <v>0</v>
      </c>
      <c r="C28" t="s">
        <v>618</v>
      </c>
      <c r="D28" t="s">
        <v>0</v>
      </c>
      <c r="E28" t="s">
        <v>480</v>
      </c>
    </row>
    <row r="29" spans="1:5" x14ac:dyDescent="0.25">
      <c r="A29" t="s">
        <v>125</v>
      </c>
      <c r="B29" t="s">
        <v>0</v>
      </c>
      <c r="C29" t="s">
        <v>0</v>
      </c>
      <c r="D29" t="s">
        <v>0</v>
      </c>
      <c r="E29" t="s">
        <v>0</v>
      </c>
    </row>
    <row r="30" spans="1:5" x14ac:dyDescent="0.25">
      <c r="A30" t="s">
        <v>619</v>
      </c>
      <c r="B30" t="s">
        <v>0</v>
      </c>
      <c r="C30" t="s">
        <v>620</v>
      </c>
      <c r="D30" t="s">
        <v>0</v>
      </c>
      <c r="E30" t="s">
        <v>4</v>
      </c>
    </row>
    <row r="31" spans="1:5" x14ac:dyDescent="0.25">
      <c r="A31" t="s">
        <v>126</v>
      </c>
      <c r="B31" t="s">
        <v>0</v>
      </c>
      <c r="C31" t="s">
        <v>0</v>
      </c>
      <c r="D31" t="s">
        <v>0</v>
      </c>
      <c r="E31" t="s">
        <v>0</v>
      </c>
    </row>
    <row r="32" spans="1:5" x14ac:dyDescent="0.25">
      <c r="A32" t="s">
        <v>127</v>
      </c>
      <c r="B32" t="s">
        <v>0</v>
      </c>
      <c r="C32" t="s">
        <v>4</v>
      </c>
      <c r="D32" t="s">
        <v>0</v>
      </c>
      <c r="E32" t="s">
        <v>4</v>
      </c>
    </row>
    <row r="33" spans="1:5" x14ac:dyDescent="0.25">
      <c r="A33" t="s">
        <v>621</v>
      </c>
      <c r="B33" t="s">
        <v>0</v>
      </c>
      <c r="C33" t="s">
        <v>482</v>
      </c>
      <c r="D33" t="s">
        <v>0</v>
      </c>
      <c r="E33" t="s">
        <v>482</v>
      </c>
    </row>
    <row r="34" spans="1:5" x14ac:dyDescent="0.25">
      <c r="A34" t="s">
        <v>130</v>
      </c>
      <c r="B34" t="s">
        <v>0</v>
      </c>
      <c r="C34" t="s">
        <v>622</v>
      </c>
      <c r="D34" t="s">
        <v>0</v>
      </c>
      <c r="E34" t="s">
        <v>483</v>
      </c>
    </row>
    <row r="35" spans="1:5" x14ac:dyDescent="0.25">
      <c r="A35" t="s">
        <v>133</v>
      </c>
      <c r="B35" t="s">
        <v>0</v>
      </c>
      <c r="C35" t="s">
        <v>623</v>
      </c>
      <c r="D35" t="s">
        <v>0</v>
      </c>
      <c r="E35" t="s">
        <v>485</v>
      </c>
    </row>
    <row r="36" spans="1:5" x14ac:dyDescent="0.25">
      <c r="A36" t="s">
        <v>136</v>
      </c>
      <c r="B36" t="s">
        <v>0</v>
      </c>
      <c r="C36" t="s">
        <v>624</v>
      </c>
      <c r="D36" t="s">
        <v>0</v>
      </c>
      <c r="E36" t="s">
        <v>486</v>
      </c>
    </row>
    <row r="37" spans="1:5" x14ac:dyDescent="0.25">
      <c r="A37" t="s">
        <v>139</v>
      </c>
      <c r="B37" t="s">
        <v>0</v>
      </c>
      <c r="C37" t="s">
        <v>625</v>
      </c>
      <c r="D37" t="s">
        <v>0</v>
      </c>
      <c r="E37" t="s">
        <v>487</v>
      </c>
    </row>
    <row r="38" spans="1:5" x14ac:dyDescent="0.25">
      <c r="A38" t="s">
        <v>626</v>
      </c>
      <c r="B38" t="s">
        <v>3</v>
      </c>
      <c r="C38" t="s">
        <v>608</v>
      </c>
      <c r="D38" t="s">
        <v>3</v>
      </c>
      <c r="E38" t="s">
        <v>470</v>
      </c>
    </row>
  </sheetData>
  <pageMargins left="0.7" right="0.7" top="0.75" bottom="0.75" header="0.3" footer="0.3"/>
  <ignoredErrors>
    <ignoredError sqref="A1:E12 A14:E38 A13 C13:E1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/>
  <dimension ref="A1:G26"/>
  <sheetViews>
    <sheetView workbookViewId="0">
      <selection activeCell="A15" sqref="A15"/>
    </sheetView>
  </sheetViews>
  <sheetFormatPr defaultRowHeight="15.75" x14ac:dyDescent="0.25"/>
  <cols>
    <col min="1" max="1" width="60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31</v>
      </c>
      <c r="B2" t="s">
        <v>3</v>
      </c>
      <c r="C2" t="s">
        <v>590</v>
      </c>
      <c r="D2" t="s">
        <v>3</v>
      </c>
      <c r="E2" t="s">
        <v>452</v>
      </c>
      <c r="F2" t="s">
        <v>3</v>
      </c>
      <c r="G2" t="s">
        <v>40</v>
      </c>
    </row>
    <row r="3" spans="1:7" x14ac:dyDescent="0.25">
      <c r="A3" t="s">
        <v>43</v>
      </c>
      <c r="B3" t="s">
        <v>0</v>
      </c>
      <c r="C3" t="s">
        <v>593</v>
      </c>
      <c r="D3" t="s">
        <v>0</v>
      </c>
      <c r="E3" t="s">
        <v>455</v>
      </c>
      <c r="F3" t="s">
        <v>0</v>
      </c>
      <c r="G3" t="s">
        <v>51</v>
      </c>
    </row>
    <row r="4" spans="1:7" x14ac:dyDescent="0.25">
      <c r="A4" t="s">
        <v>144</v>
      </c>
      <c r="B4" t="s">
        <v>0</v>
      </c>
      <c r="C4" t="s">
        <v>627</v>
      </c>
      <c r="D4" t="s">
        <v>0</v>
      </c>
      <c r="E4" t="s">
        <v>488</v>
      </c>
      <c r="F4" t="s">
        <v>0</v>
      </c>
      <c r="G4" t="s">
        <v>145</v>
      </c>
    </row>
    <row r="5" spans="1:7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 x14ac:dyDescent="0.25">
      <c r="A6" t="s">
        <v>149</v>
      </c>
      <c r="B6" t="s">
        <v>0</v>
      </c>
      <c r="C6" t="s">
        <v>628</v>
      </c>
      <c r="D6" t="s">
        <v>0</v>
      </c>
      <c r="E6" t="s">
        <v>489</v>
      </c>
      <c r="F6" t="s">
        <v>0</v>
      </c>
      <c r="G6" t="s">
        <v>150</v>
      </c>
    </row>
    <row r="7" spans="1:7" x14ac:dyDescent="0.25">
      <c r="A7" t="s">
        <v>153</v>
      </c>
      <c r="B7" t="s">
        <v>0</v>
      </c>
      <c r="C7" t="s">
        <v>629</v>
      </c>
      <c r="D7" t="s">
        <v>0</v>
      </c>
      <c r="E7" t="s">
        <v>490</v>
      </c>
      <c r="F7" t="s">
        <v>0</v>
      </c>
      <c r="G7" t="s">
        <v>154</v>
      </c>
    </row>
    <row r="8" spans="1:7" x14ac:dyDescent="0.25">
      <c r="A8" t="s">
        <v>157</v>
      </c>
      <c r="B8" t="s">
        <v>0</v>
      </c>
      <c r="C8" t="s">
        <v>630</v>
      </c>
      <c r="D8" t="s">
        <v>0</v>
      </c>
      <c r="E8" t="s">
        <v>491</v>
      </c>
      <c r="F8" t="s">
        <v>0</v>
      </c>
      <c r="G8" t="s">
        <v>158</v>
      </c>
    </row>
    <row r="9" spans="1:7" x14ac:dyDescent="0.25">
      <c r="A9" t="s">
        <v>161</v>
      </c>
      <c r="B9" t="s">
        <v>0</v>
      </c>
      <c r="C9" t="s">
        <v>631</v>
      </c>
      <c r="D9" t="s">
        <v>0</v>
      </c>
      <c r="E9" t="s">
        <v>492</v>
      </c>
      <c r="F9" t="s">
        <v>0</v>
      </c>
      <c r="G9" t="s">
        <v>162</v>
      </c>
    </row>
    <row r="10" spans="1:7" x14ac:dyDescent="0.25">
      <c r="A10" t="s">
        <v>165</v>
      </c>
      <c r="B10" t="s">
        <v>0</v>
      </c>
      <c r="C10" t="s">
        <v>632</v>
      </c>
      <c r="D10" t="s">
        <v>0</v>
      </c>
      <c r="E10" t="s">
        <v>493</v>
      </c>
      <c r="F10" t="s">
        <v>0</v>
      </c>
      <c r="G10" t="s">
        <v>166</v>
      </c>
    </row>
    <row r="11" spans="1:7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495</v>
      </c>
      <c r="B12" t="s">
        <v>0</v>
      </c>
      <c r="C12" t="s">
        <v>633</v>
      </c>
      <c r="D12" t="s">
        <v>0</v>
      </c>
      <c r="E12" t="s">
        <v>496</v>
      </c>
      <c r="F12" t="s">
        <v>0</v>
      </c>
      <c r="G12" t="s">
        <v>171</v>
      </c>
    </row>
    <row r="13" spans="1:7" x14ac:dyDescent="0.25">
      <c r="A13" t="s">
        <v>174</v>
      </c>
      <c r="B13" t="s">
        <v>0</v>
      </c>
      <c r="C13" t="s">
        <v>4</v>
      </c>
      <c r="D13" t="s">
        <v>0</v>
      </c>
      <c r="E13" t="s">
        <v>4</v>
      </c>
      <c r="F13" t="s">
        <v>0</v>
      </c>
      <c r="G13" t="s">
        <v>175</v>
      </c>
    </row>
    <row r="14" spans="1:7" x14ac:dyDescent="0.25">
      <c r="A14" t="s">
        <v>498</v>
      </c>
      <c r="B14" t="s">
        <v>0</v>
      </c>
      <c r="C14" t="s">
        <v>634</v>
      </c>
      <c r="D14" t="s">
        <v>0</v>
      </c>
      <c r="E14" t="s">
        <v>499</v>
      </c>
      <c r="F14" t="s">
        <v>0</v>
      </c>
      <c r="G14" t="s">
        <v>177</v>
      </c>
    </row>
    <row r="15" spans="1:7" x14ac:dyDescent="0.25">
      <c r="A15" t="s">
        <v>635</v>
      </c>
      <c r="B15" t="s">
        <v>0</v>
      </c>
      <c r="C15" t="s">
        <v>583</v>
      </c>
      <c r="D15" t="s">
        <v>0</v>
      </c>
      <c r="E15" t="s">
        <v>501</v>
      </c>
      <c r="F15" t="s">
        <v>0</v>
      </c>
      <c r="G15" t="s">
        <v>636</v>
      </c>
    </row>
    <row r="16" spans="1:7" x14ac:dyDescent="0.25">
      <c r="A16" t="s">
        <v>182</v>
      </c>
      <c r="B16" t="s">
        <v>0</v>
      </c>
      <c r="C16" t="s">
        <v>637</v>
      </c>
      <c r="D16" t="s">
        <v>0</v>
      </c>
      <c r="E16" t="s">
        <v>502</v>
      </c>
      <c r="F16" t="s">
        <v>0</v>
      </c>
      <c r="G16" t="s">
        <v>183</v>
      </c>
    </row>
    <row r="17" spans="1:7" x14ac:dyDescent="0.25">
      <c r="A17" t="s">
        <v>186</v>
      </c>
      <c r="B17" t="s">
        <v>0</v>
      </c>
      <c r="C17" t="s">
        <v>584</v>
      </c>
      <c r="D17" t="s">
        <v>0</v>
      </c>
      <c r="E17" t="s">
        <v>503</v>
      </c>
      <c r="F17" t="s">
        <v>0</v>
      </c>
      <c r="G17" t="s">
        <v>13</v>
      </c>
    </row>
    <row r="18" spans="1:7" x14ac:dyDescent="0.25">
      <c r="A18" t="s">
        <v>187</v>
      </c>
      <c r="B18" t="s">
        <v>0</v>
      </c>
      <c r="C18" t="s">
        <v>638</v>
      </c>
      <c r="D18" t="s">
        <v>0</v>
      </c>
      <c r="E18" t="s">
        <v>504</v>
      </c>
      <c r="F18" t="s">
        <v>0</v>
      </c>
      <c r="G18" t="s">
        <v>188</v>
      </c>
    </row>
    <row r="19" spans="1:7" x14ac:dyDescent="0.25">
      <c r="A19" t="s">
        <v>639</v>
      </c>
      <c r="B19" t="s">
        <v>0</v>
      </c>
      <c r="C19" t="s">
        <v>640</v>
      </c>
      <c r="D19" t="s">
        <v>0</v>
      </c>
      <c r="E19" t="s">
        <v>4</v>
      </c>
      <c r="F19" t="s">
        <v>0</v>
      </c>
      <c r="G19" t="s">
        <v>4</v>
      </c>
    </row>
    <row r="20" spans="1:7" x14ac:dyDescent="0.25">
      <c r="A20" t="s">
        <v>641</v>
      </c>
      <c r="B20" t="s">
        <v>3</v>
      </c>
      <c r="C20" t="s">
        <v>642</v>
      </c>
      <c r="D20" t="s">
        <v>3</v>
      </c>
      <c r="E20" t="s">
        <v>504</v>
      </c>
      <c r="F20" t="s">
        <v>3</v>
      </c>
      <c r="G20" t="s">
        <v>188</v>
      </c>
    </row>
    <row r="21" spans="1:7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</row>
    <row r="22" spans="1:7" x14ac:dyDescent="0.25">
      <c r="A22" t="s">
        <v>191</v>
      </c>
      <c r="B22" t="s">
        <v>3</v>
      </c>
      <c r="C22" t="s">
        <v>643</v>
      </c>
      <c r="D22" t="s">
        <v>3</v>
      </c>
      <c r="E22" t="s">
        <v>505</v>
      </c>
      <c r="F22" t="s">
        <v>3</v>
      </c>
      <c r="G22" t="s">
        <v>506</v>
      </c>
    </row>
    <row r="23" spans="1:7" x14ac:dyDescent="0.25">
      <c r="A23" t="s">
        <v>195</v>
      </c>
      <c r="B23" t="s">
        <v>0</v>
      </c>
      <c r="C23" t="s">
        <v>644</v>
      </c>
      <c r="D23" t="s">
        <v>0</v>
      </c>
      <c r="E23" t="s">
        <v>508</v>
      </c>
      <c r="F23" t="s">
        <v>0</v>
      </c>
      <c r="G23" t="s">
        <v>509</v>
      </c>
    </row>
    <row r="24" spans="1:7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  <row r="25" spans="1:7" x14ac:dyDescent="0.25">
      <c r="A25" t="s">
        <v>199</v>
      </c>
      <c r="B25" t="s">
        <v>3</v>
      </c>
      <c r="C25" t="s">
        <v>645</v>
      </c>
      <c r="D25" t="s">
        <v>3</v>
      </c>
      <c r="E25" t="s">
        <v>511</v>
      </c>
      <c r="F25" t="s">
        <v>3</v>
      </c>
      <c r="G25" t="s">
        <v>512</v>
      </c>
    </row>
    <row r="26" spans="1:7" x14ac:dyDescent="0.25">
      <c r="A26" t="s">
        <v>203</v>
      </c>
      <c r="B26" t="s">
        <v>0</v>
      </c>
      <c r="C26" t="s">
        <v>646</v>
      </c>
      <c r="D26" t="s">
        <v>0</v>
      </c>
      <c r="E26" t="s">
        <v>514</v>
      </c>
      <c r="F26" t="s">
        <v>0</v>
      </c>
      <c r="G26" t="s">
        <v>515</v>
      </c>
    </row>
  </sheetData>
  <pageMargins left="0.7" right="0.7" top="0.75" bottom="0.75" header="0.3" footer="0.3"/>
  <ignoredErrors>
    <ignoredError sqref="A1:G2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tabColor theme="3" tint="-0.249977111117893"/>
  </sheetPr>
  <dimension ref="A1:H47"/>
  <sheetViews>
    <sheetView topLeftCell="A11" workbookViewId="0">
      <selection activeCell="A26" sqref="A26"/>
    </sheetView>
  </sheetViews>
  <sheetFormatPr defaultRowHeight="15.75" x14ac:dyDescent="0.25"/>
  <cols>
    <col min="1" max="1" width="60.875" customWidth="1"/>
    <col min="2" max="3" width="10.875" customWidth="1"/>
    <col min="4" max="4" width="13.875" customWidth="1"/>
    <col min="5" max="5" width="10.875" customWidth="1"/>
    <col min="6" max="6" width="13.875" customWidth="1"/>
    <col min="7" max="7" width="10.875" customWidth="1"/>
    <col min="8" max="8" width="11.875" customWidth="1"/>
  </cols>
  <sheetData>
    <row r="1" spans="1:8" x14ac:dyDescent="0.25">
      <c r="A1" t="s">
        <v>216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187</v>
      </c>
      <c r="B2" t="s">
        <v>0</v>
      </c>
      <c r="C2" t="s">
        <v>3</v>
      </c>
      <c r="D2" t="s">
        <v>638</v>
      </c>
      <c r="E2" t="s">
        <v>3</v>
      </c>
      <c r="F2" t="s">
        <v>504</v>
      </c>
      <c r="G2" t="s">
        <v>3</v>
      </c>
      <c r="H2" t="s">
        <v>188</v>
      </c>
    </row>
    <row r="3" spans="1:8" x14ac:dyDescent="0.25">
      <c r="A3" t="s">
        <v>217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218</v>
      </c>
      <c r="B4" t="s">
        <v>0</v>
      </c>
      <c r="C4" t="s">
        <v>0</v>
      </c>
      <c r="D4" t="s">
        <v>650</v>
      </c>
      <c r="E4" t="s">
        <v>0</v>
      </c>
      <c r="F4" t="s">
        <v>521</v>
      </c>
      <c r="G4" t="s">
        <v>0</v>
      </c>
      <c r="H4" t="s">
        <v>219</v>
      </c>
    </row>
    <row r="5" spans="1:8" x14ac:dyDescent="0.25">
      <c r="A5" t="s">
        <v>651</v>
      </c>
      <c r="B5" t="s">
        <v>0</v>
      </c>
      <c r="C5" t="s">
        <v>0</v>
      </c>
      <c r="D5" t="s">
        <v>652</v>
      </c>
      <c r="E5" t="s">
        <v>0</v>
      </c>
      <c r="F5" t="s">
        <v>523</v>
      </c>
      <c r="G5" t="s">
        <v>0</v>
      </c>
      <c r="H5" t="s">
        <v>223</v>
      </c>
    </row>
    <row r="6" spans="1:8" x14ac:dyDescent="0.25">
      <c r="A6" t="s">
        <v>653</v>
      </c>
      <c r="B6" t="s">
        <v>0</v>
      </c>
      <c r="C6" t="s">
        <v>0</v>
      </c>
      <c r="D6" t="s">
        <v>654</v>
      </c>
      <c r="E6" t="s">
        <v>0</v>
      </c>
      <c r="F6" t="s">
        <v>4</v>
      </c>
      <c r="G6" t="s">
        <v>0</v>
      </c>
      <c r="H6" t="s">
        <v>4</v>
      </c>
    </row>
    <row r="7" spans="1:8" x14ac:dyDescent="0.25">
      <c r="A7" t="s">
        <v>655</v>
      </c>
      <c r="B7" t="s">
        <v>0</v>
      </c>
      <c r="C7" t="s">
        <v>0</v>
      </c>
      <c r="D7" t="s">
        <v>656</v>
      </c>
      <c r="E7" t="s">
        <v>0</v>
      </c>
      <c r="F7" t="s">
        <v>525</v>
      </c>
      <c r="G7" t="s">
        <v>0</v>
      </c>
      <c r="H7" t="s">
        <v>227</v>
      </c>
    </row>
    <row r="8" spans="1:8" x14ac:dyDescent="0.25">
      <c r="A8" t="s">
        <v>230</v>
      </c>
      <c r="B8" t="s">
        <v>0</v>
      </c>
      <c r="C8" t="s">
        <v>0</v>
      </c>
      <c r="D8" t="s">
        <v>657</v>
      </c>
      <c r="E8" t="s">
        <v>0</v>
      </c>
      <c r="F8" t="s">
        <v>519</v>
      </c>
      <c r="G8" t="s">
        <v>0</v>
      </c>
      <c r="H8" t="s">
        <v>214</v>
      </c>
    </row>
    <row r="9" spans="1:8" x14ac:dyDescent="0.25">
      <c r="A9" t="s">
        <v>231</v>
      </c>
      <c r="B9" t="s">
        <v>0</v>
      </c>
      <c r="C9" t="s">
        <v>0</v>
      </c>
      <c r="D9" t="s">
        <v>658</v>
      </c>
      <c r="E9" t="s">
        <v>0</v>
      </c>
      <c r="F9" t="s">
        <v>526</v>
      </c>
      <c r="G9" t="s">
        <v>0</v>
      </c>
      <c r="H9" t="s">
        <v>232</v>
      </c>
    </row>
    <row r="10" spans="1:8" x14ac:dyDescent="0.25">
      <c r="A10" t="s">
        <v>174</v>
      </c>
      <c r="B10" t="s">
        <v>0</v>
      </c>
      <c r="C10" t="s">
        <v>0</v>
      </c>
      <c r="D10" t="s">
        <v>4</v>
      </c>
      <c r="E10" t="s">
        <v>0</v>
      </c>
      <c r="F10" t="s">
        <v>4</v>
      </c>
      <c r="G10" t="s">
        <v>0</v>
      </c>
      <c r="H10" t="s">
        <v>235</v>
      </c>
    </row>
    <row r="11" spans="1:8" x14ac:dyDescent="0.25">
      <c r="A11" t="s">
        <v>659</v>
      </c>
      <c r="B11" t="s">
        <v>0</v>
      </c>
      <c r="C11" t="s">
        <v>0</v>
      </c>
      <c r="D11" t="s">
        <v>660</v>
      </c>
      <c r="E11" t="s">
        <v>0</v>
      </c>
      <c r="F11" t="s">
        <v>528</v>
      </c>
      <c r="G11" t="s">
        <v>0</v>
      </c>
      <c r="H11" t="s">
        <v>236</v>
      </c>
    </row>
    <row r="12" spans="1:8" x14ac:dyDescent="0.25">
      <c r="A12" t="s">
        <v>239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240</v>
      </c>
      <c r="B13" t="s">
        <v>0</v>
      </c>
      <c r="C13" t="s">
        <v>0</v>
      </c>
      <c r="D13" t="s">
        <v>661</v>
      </c>
      <c r="E13" t="s">
        <v>0</v>
      </c>
      <c r="F13" t="s">
        <v>529</v>
      </c>
      <c r="G13" t="s">
        <v>0</v>
      </c>
      <c r="H13" t="s">
        <v>241</v>
      </c>
    </row>
    <row r="14" spans="1:8" x14ac:dyDescent="0.25">
      <c r="A14" t="s">
        <v>62</v>
      </c>
      <c r="B14" t="s">
        <v>0</v>
      </c>
      <c r="C14" t="s">
        <v>0</v>
      </c>
      <c r="D14" t="s">
        <v>662</v>
      </c>
      <c r="E14" t="s">
        <v>0</v>
      </c>
      <c r="F14" t="s">
        <v>530</v>
      </c>
      <c r="G14" t="s">
        <v>0</v>
      </c>
      <c r="H14" t="s">
        <v>244</v>
      </c>
    </row>
    <row r="15" spans="1:8" x14ac:dyDescent="0.25">
      <c r="A15" t="s">
        <v>65</v>
      </c>
      <c r="B15" t="s">
        <v>0</v>
      </c>
      <c r="C15" t="s">
        <v>0</v>
      </c>
      <c r="D15" t="s">
        <v>663</v>
      </c>
      <c r="E15" t="s">
        <v>0</v>
      </c>
      <c r="F15" t="s">
        <v>531</v>
      </c>
      <c r="G15" t="s">
        <v>0</v>
      </c>
      <c r="H15" t="s">
        <v>247</v>
      </c>
    </row>
    <row r="16" spans="1:8" x14ac:dyDescent="0.25">
      <c r="A16" t="s">
        <v>250</v>
      </c>
      <c r="B16" t="s">
        <v>0</v>
      </c>
      <c r="C16" t="s">
        <v>0</v>
      </c>
      <c r="D16" t="s">
        <v>664</v>
      </c>
      <c r="E16" t="s">
        <v>0</v>
      </c>
      <c r="F16" t="s">
        <v>532</v>
      </c>
      <c r="G16" t="s">
        <v>0</v>
      </c>
      <c r="H16" t="s">
        <v>251</v>
      </c>
    </row>
    <row r="17" spans="1:8" x14ac:dyDescent="0.25">
      <c r="A17" t="s">
        <v>254</v>
      </c>
      <c r="B17" t="s">
        <v>0</v>
      </c>
      <c r="C17" t="s">
        <v>0</v>
      </c>
      <c r="D17" t="s">
        <v>665</v>
      </c>
      <c r="E17" t="s">
        <v>0</v>
      </c>
      <c r="F17" t="s">
        <v>533</v>
      </c>
      <c r="G17" t="s">
        <v>0</v>
      </c>
      <c r="H17" t="s">
        <v>255</v>
      </c>
    </row>
    <row r="18" spans="1:8" x14ac:dyDescent="0.25">
      <c r="A18" t="s">
        <v>97</v>
      </c>
      <c r="B18" t="s">
        <v>0</v>
      </c>
      <c r="C18" t="s">
        <v>0</v>
      </c>
      <c r="D18" t="s">
        <v>666</v>
      </c>
      <c r="E18" t="s">
        <v>0</v>
      </c>
      <c r="F18" t="s">
        <v>534</v>
      </c>
      <c r="G18" t="s">
        <v>0</v>
      </c>
      <c r="H18" t="s">
        <v>258</v>
      </c>
    </row>
    <row r="19" spans="1:8" x14ac:dyDescent="0.25">
      <c r="A19" t="s">
        <v>100</v>
      </c>
      <c r="B19" t="s">
        <v>0</v>
      </c>
      <c r="C19" t="s">
        <v>0</v>
      </c>
      <c r="D19" t="s">
        <v>667</v>
      </c>
      <c r="E19" t="s">
        <v>0</v>
      </c>
      <c r="F19" t="s">
        <v>535</v>
      </c>
      <c r="G19" t="s">
        <v>0</v>
      </c>
      <c r="H19" t="s">
        <v>261</v>
      </c>
    </row>
    <row r="20" spans="1:8" x14ac:dyDescent="0.25">
      <c r="A20" t="s">
        <v>68</v>
      </c>
      <c r="B20" t="s">
        <v>0</v>
      </c>
      <c r="C20" t="s">
        <v>0</v>
      </c>
      <c r="D20" t="s">
        <v>668</v>
      </c>
      <c r="E20" t="s">
        <v>0</v>
      </c>
      <c r="F20" t="s">
        <v>536</v>
      </c>
      <c r="G20" t="s">
        <v>0</v>
      </c>
      <c r="H20" t="s">
        <v>264</v>
      </c>
    </row>
    <row r="21" spans="1:8" x14ac:dyDescent="0.25">
      <c r="A21" t="s">
        <v>103</v>
      </c>
      <c r="B21" t="s">
        <v>0</v>
      </c>
      <c r="C21" t="s">
        <v>0</v>
      </c>
      <c r="D21" t="s">
        <v>669</v>
      </c>
      <c r="E21" t="s">
        <v>0</v>
      </c>
      <c r="F21" t="s">
        <v>537</v>
      </c>
      <c r="G21" t="s">
        <v>0</v>
      </c>
      <c r="H21" t="s">
        <v>267</v>
      </c>
    </row>
    <row r="22" spans="1:8" x14ac:dyDescent="0.25">
      <c r="A22" t="s">
        <v>272</v>
      </c>
      <c r="B22" t="s">
        <v>0</v>
      </c>
      <c r="C22" t="s">
        <v>0</v>
      </c>
      <c r="D22" t="s">
        <v>585</v>
      </c>
      <c r="E22" t="s">
        <v>0</v>
      </c>
      <c r="F22" t="s">
        <v>446</v>
      </c>
      <c r="G22" t="s">
        <v>0</v>
      </c>
      <c r="H22" t="s">
        <v>16</v>
      </c>
    </row>
    <row r="23" spans="1:8" x14ac:dyDescent="0.25">
      <c r="A23" t="s">
        <v>273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8" x14ac:dyDescent="0.25">
      <c r="A24" t="s">
        <v>274</v>
      </c>
      <c r="B24" t="s">
        <v>0</v>
      </c>
      <c r="C24" t="s">
        <v>0</v>
      </c>
      <c r="D24" t="s">
        <v>670</v>
      </c>
      <c r="E24" t="s">
        <v>0</v>
      </c>
      <c r="F24" t="s">
        <v>449</v>
      </c>
      <c r="G24" t="s">
        <v>0</v>
      </c>
      <c r="H24" t="s">
        <v>25</v>
      </c>
    </row>
    <row r="25" spans="1:8" x14ac:dyDescent="0.25">
      <c r="A25" t="s">
        <v>671</v>
      </c>
      <c r="B25" t="s">
        <v>0</v>
      </c>
      <c r="C25" t="s">
        <v>0</v>
      </c>
      <c r="D25" t="s">
        <v>672</v>
      </c>
      <c r="E25" t="s">
        <v>0</v>
      </c>
      <c r="F25" t="s">
        <v>4</v>
      </c>
      <c r="G25" t="s">
        <v>0</v>
      </c>
      <c r="H25" t="s">
        <v>28</v>
      </c>
    </row>
    <row r="26" spans="1:8" x14ac:dyDescent="0.25">
      <c r="A26" t="s">
        <v>277</v>
      </c>
      <c r="B26" t="s">
        <v>0</v>
      </c>
      <c r="C26" t="s">
        <v>0</v>
      </c>
      <c r="D26" t="s">
        <v>673</v>
      </c>
      <c r="E26" t="s">
        <v>0</v>
      </c>
      <c r="F26" t="s">
        <v>538</v>
      </c>
      <c r="G26" t="s">
        <v>0</v>
      </c>
      <c r="H26" t="s">
        <v>278</v>
      </c>
    </row>
    <row r="27" spans="1:8" x14ac:dyDescent="0.25">
      <c r="A27" t="s">
        <v>457</v>
      </c>
      <c r="B27" t="s">
        <v>0</v>
      </c>
      <c r="C27" t="s">
        <v>0</v>
      </c>
      <c r="D27" t="s">
        <v>674</v>
      </c>
      <c r="E27" t="s">
        <v>0</v>
      </c>
      <c r="F27" t="s">
        <v>539</v>
      </c>
      <c r="G27" t="s">
        <v>0</v>
      </c>
      <c r="H27" t="s">
        <v>284</v>
      </c>
    </row>
    <row r="28" spans="1:8" x14ac:dyDescent="0.25">
      <c r="A28" t="s">
        <v>285</v>
      </c>
      <c r="B28" t="s">
        <v>0</v>
      </c>
      <c r="C28" t="s">
        <v>0</v>
      </c>
      <c r="D28" t="s">
        <v>675</v>
      </c>
      <c r="E28" t="s">
        <v>0</v>
      </c>
      <c r="F28" t="s">
        <v>4</v>
      </c>
      <c r="G28" t="s">
        <v>0</v>
      </c>
      <c r="H28" t="s">
        <v>286</v>
      </c>
    </row>
    <row r="29" spans="1:8" x14ac:dyDescent="0.25">
      <c r="A29" t="s">
        <v>281</v>
      </c>
      <c r="B29" t="s">
        <v>0</v>
      </c>
      <c r="C29" t="s">
        <v>0</v>
      </c>
      <c r="D29" t="s">
        <v>676</v>
      </c>
      <c r="E29" t="s">
        <v>0</v>
      </c>
      <c r="F29" t="s">
        <v>540</v>
      </c>
      <c r="G29" t="s">
        <v>0</v>
      </c>
      <c r="H29" t="s">
        <v>282</v>
      </c>
    </row>
    <row r="30" spans="1:8" x14ac:dyDescent="0.25">
      <c r="A30" t="s">
        <v>287</v>
      </c>
      <c r="B30" t="s">
        <v>0</v>
      </c>
      <c r="C30" t="s">
        <v>0</v>
      </c>
      <c r="D30" t="s">
        <v>586</v>
      </c>
      <c r="E30" t="s">
        <v>0</v>
      </c>
      <c r="F30" t="s">
        <v>447</v>
      </c>
      <c r="G30" t="s">
        <v>0</v>
      </c>
      <c r="H30" t="s">
        <v>19</v>
      </c>
    </row>
    <row r="31" spans="1:8" x14ac:dyDescent="0.25">
      <c r="A31" t="s">
        <v>288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8" x14ac:dyDescent="0.25">
      <c r="A32" t="s">
        <v>289</v>
      </c>
      <c r="B32" t="s">
        <v>0</v>
      </c>
      <c r="C32" t="s">
        <v>0</v>
      </c>
      <c r="D32" t="s">
        <v>647</v>
      </c>
      <c r="E32" t="s">
        <v>0</v>
      </c>
      <c r="F32" t="s">
        <v>517</v>
      </c>
      <c r="G32" t="s">
        <v>0</v>
      </c>
      <c r="H32" t="s">
        <v>212</v>
      </c>
    </row>
    <row r="33" spans="1:8" x14ac:dyDescent="0.25">
      <c r="A33" t="s">
        <v>291</v>
      </c>
      <c r="B33" t="s">
        <v>0</v>
      </c>
      <c r="C33" t="s">
        <v>0</v>
      </c>
      <c r="D33" t="s">
        <v>649</v>
      </c>
      <c r="E33" t="s">
        <v>0</v>
      </c>
      <c r="F33" t="s">
        <v>520</v>
      </c>
      <c r="G33" t="s">
        <v>0</v>
      </c>
      <c r="H33" t="s">
        <v>215</v>
      </c>
    </row>
    <row r="34" spans="1:8" x14ac:dyDescent="0.25">
      <c r="A34" t="s">
        <v>292</v>
      </c>
      <c r="B34" t="s">
        <v>0</v>
      </c>
      <c r="C34" t="s">
        <v>0</v>
      </c>
      <c r="D34" t="s">
        <v>648</v>
      </c>
      <c r="E34" t="s">
        <v>0</v>
      </c>
      <c r="F34" t="s">
        <v>518</v>
      </c>
      <c r="G34" t="s">
        <v>0</v>
      </c>
      <c r="H34" t="s">
        <v>213</v>
      </c>
    </row>
    <row r="35" spans="1:8" x14ac:dyDescent="0.25">
      <c r="A35" t="s">
        <v>541</v>
      </c>
      <c r="B35" t="s">
        <v>0</v>
      </c>
      <c r="C35" t="s">
        <v>0</v>
      </c>
      <c r="D35" t="s">
        <v>4</v>
      </c>
      <c r="E35" t="s">
        <v>0</v>
      </c>
      <c r="F35" t="s">
        <v>542</v>
      </c>
      <c r="G35" t="s">
        <v>0</v>
      </c>
      <c r="H35" t="s">
        <v>4</v>
      </c>
    </row>
    <row r="36" spans="1:8" x14ac:dyDescent="0.25">
      <c r="A36" t="s">
        <v>543</v>
      </c>
      <c r="B36" t="s">
        <v>0</v>
      </c>
      <c r="C36" t="s">
        <v>0</v>
      </c>
      <c r="D36" t="s">
        <v>677</v>
      </c>
      <c r="E36" t="s">
        <v>0</v>
      </c>
      <c r="F36" t="s">
        <v>544</v>
      </c>
      <c r="G36" t="s">
        <v>0</v>
      </c>
      <c r="H36" t="s">
        <v>4</v>
      </c>
    </row>
    <row r="37" spans="1:8" x14ac:dyDescent="0.25">
      <c r="A37" t="s">
        <v>294</v>
      </c>
      <c r="B37" t="s">
        <v>0</v>
      </c>
      <c r="C37" t="s">
        <v>0</v>
      </c>
      <c r="D37" t="s">
        <v>4</v>
      </c>
      <c r="E37" t="s">
        <v>0</v>
      </c>
      <c r="F37" t="s">
        <v>4</v>
      </c>
      <c r="G37" t="s">
        <v>0</v>
      </c>
      <c r="H37" t="s">
        <v>295</v>
      </c>
    </row>
    <row r="38" spans="1:8" x14ac:dyDescent="0.25">
      <c r="A38" t="s">
        <v>297</v>
      </c>
      <c r="B38" t="s">
        <v>0</v>
      </c>
      <c r="C38" t="s">
        <v>0</v>
      </c>
      <c r="D38" t="s">
        <v>4</v>
      </c>
      <c r="E38" t="s">
        <v>0</v>
      </c>
      <c r="F38" t="s">
        <v>4</v>
      </c>
      <c r="G38" t="s">
        <v>0</v>
      </c>
      <c r="H38" t="s">
        <v>298</v>
      </c>
    </row>
    <row r="39" spans="1:8" x14ac:dyDescent="0.25">
      <c r="A39" t="s">
        <v>299</v>
      </c>
      <c r="B39" t="s">
        <v>0</v>
      </c>
      <c r="C39" t="s">
        <v>0</v>
      </c>
      <c r="D39" t="s">
        <v>678</v>
      </c>
      <c r="E39" t="s">
        <v>0</v>
      </c>
      <c r="F39" t="s">
        <v>545</v>
      </c>
      <c r="G39" t="s">
        <v>0</v>
      </c>
      <c r="H39" t="s">
        <v>300</v>
      </c>
    </row>
    <row r="40" spans="1:8" x14ac:dyDescent="0.25">
      <c r="A40" t="s">
        <v>546</v>
      </c>
      <c r="B40" t="s">
        <v>0</v>
      </c>
      <c r="C40" t="s">
        <v>0</v>
      </c>
      <c r="D40" t="s">
        <v>587</v>
      </c>
      <c r="E40" t="s">
        <v>0</v>
      </c>
      <c r="F40" t="s">
        <v>448</v>
      </c>
      <c r="G40" t="s">
        <v>0</v>
      </c>
      <c r="H40" t="s">
        <v>22</v>
      </c>
    </row>
    <row r="41" spans="1:8" x14ac:dyDescent="0.25">
      <c r="A41" t="s">
        <v>304</v>
      </c>
      <c r="B41" t="s">
        <v>0</v>
      </c>
      <c r="C41" t="s">
        <v>0</v>
      </c>
      <c r="D41" t="s">
        <v>679</v>
      </c>
      <c r="E41" t="s">
        <v>0</v>
      </c>
      <c r="F41" t="s">
        <v>547</v>
      </c>
      <c r="G41" t="s">
        <v>0</v>
      </c>
      <c r="H41" t="s">
        <v>305</v>
      </c>
    </row>
    <row r="42" spans="1:8" x14ac:dyDescent="0.25">
      <c r="A42" t="s">
        <v>549</v>
      </c>
      <c r="B42" t="s">
        <v>0</v>
      </c>
      <c r="C42" t="s">
        <v>0</v>
      </c>
      <c r="D42" t="s">
        <v>680</v>
      </c>
      <c r="E42" t="s">
        <v>0</v>
      </c>
      <c r="F42" t="s">
        <v>550</v>
      </c>
      <c r="G42" t="s">
        <v>0</v>
      </c>
      <c r="H42" t="s">
        <v>309</v>
      </c>
    </row>
    <row r="43" spans="1:8" x14ac:dyDescent="0.25">
      <c r="A43" t="s">
        <v>312</v>
      </c>
      <c r="B43" t="s">
        <v>0</v>
      </c>
      <c r="C43" t="s">
        <v>0</v>
      </c>
      <c r="D43" t="s">
        <v>456</v>
      </c>
      <c r="E43" t="s">
        <v>0</v>
      </c>
      <c r="F43" t="s">
        <v>57</v>
      </c>
      <c r="G43" t="s">
        <v>0</v>
      </c>
      <c r="H43" t="s">
        <v>58</v>
      </c>
    </row>
    <row r="44" spans="1:8" x14ac:dyDescent="0.25">
      <c r="A44" t="s">
        <v>315</v>
      </c>
      <c r="B44" t="s">
        <v>0</v>
      </c>
      <c r="C44" t="s">
        <v>3</v>
      </c>
      <c r="D44" t="s">
        <v>596</v>
      </c>
      <c r="E44" t="s">
        <v>3</v>
      </c>
      <c r="F44" t="s">
        <v>456</v>
      </c>
      <c r="G44" t="s">
        <v>3</v>
      </c>
      <c r="H44" t="s">
        <v>57</v>
      </c>
    </row>
    <row r="45" spans="1:8" x14ac:dyDescent="0.25">
      <c r="A45" t="s">
        <v>316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</row>
    <row r="46" spans="1:8" x14ac:dyDescent="0.25">
      <c r="A46" t="s">
        <v>317</v>
      </c>
      <c r="B46" t="s">
        <v>0</v>
      </c>
      <c r="C46" t="s">
        <v>3</v>
      </c>
      <c r="D46" t="s">
        <v>681</v>
      </c>
      <c r="E46" t="s">
        <v>3</v>
      </c>
      <c r="F46" t="s">
        <v>551</v>
      </c>
      <c r="G46" t="s">
        <v>3</v>
      </c>
      <c r="H46" t="s">
        <v>318</v>
      </c>
    </row>
    <row r="47" spans="1:8" x14ac:dyDescent="0.25">
      <c r="A47" t="s">
        <v>321</v>
      </c>
      <c r="B47" t="s">
        <v>0</v>
      </c>
      <c r="C47" t="s">
        <v>3</v>
      </c>
      <c r="D47" t="s">
        <v>682</v>
      </c>
      <c r="E47" t="s">
        <v>3</v>
      </c>
      <c r="F47" t="s">
        <v>552</v>
      </c>
      <c r="G47" t="s">
        <v>3</v>
      </c>
      <c r="H47" t="s">
        <v>322</v>
      </c>
    </row>
  </sheetData>
  <pageMargins left="0.7" right="0.7" top="0.75" bottom="0.75" header="0.3" footer="0.3"/>
  <ignoredErrors>
    <ignoredError sqref="A1:H47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/>
  <dimension ref="A1:F8"/>
  <sheetViews>
    <sheetView workbookViewId="0"/>
  </sheetViews>
  <sheetFormatPr defaultRowHeight="15.75" x14ac:dyDescent="0.25"/>
  <cols>
    <col min="1" max="1" width="49.875" customWidth="1"/>
    <col min="2" max="3" width="10.875" customWidth="1"/>
    <col min="4" max="4" width="13.875" customWidth="1"/>
    <col min="5" max="5" width="10.875" customWidth="1"/>
    <col min="6" max="6" width="11.875" customWidth="1"/>
  </cols>
  <sheetData>
    <row r="1" spans="1:6" x14ac:dyDescent="0.25">
      <c r="A1" t="s">
        <v>326</v>
      </c>
      <c r="B1" t="s">
        <v>0</v>
      </c>
      <c r="C1" t="s">
        <v>3</v>
      </c>
      <c r="D1" t="s">
        <v>683</v>
      </c>
      <c r="E1" t="s">
        <v>3</v>
      </c>
      <c r="F1" t="s">
        <v>553</v>
      </c>
    </row>
    <row r="2" spans="1:6" x14ac:dyDescent="0.25">
      <c r="A2" t="s">
        <v>329</v>
      </c>
      <c r="B2" t="s">
        <v>0</v>
      </c>
      <c r="C2" t="s">
        <v>0</v>
      </c>
      <c r="D2" t="s">
        <v>684</v>
      </c>
      <c r="E2" t="s">
        <v>0</v>
      </c>
      <c r="F2" t="s">
        <v>554</v>
      </c>
    </row>
    <row r="3" spans="1:6" x14ac:dyDescent="0.25">
      <c r="A3" t="s">
        <v>332</v>
      </c>
      <c r="B3" t="s">
        <v>0</v>
      </c>
      <c r="C3" t="s">
        <v>0</v>
      </c>
      <c r="D3" t="s">
        <v>685</v>
      </c>
      <c r="E3" t="s">
        <v>0</v>
      </c>
      <c r="F3" t="s">
        <v>555</v>
      </c>
    </row>
    <row r="4" spans="1:6" x14ac:dyDescent="0.25">
      <c r="A4" t="s">
        <v>335</v>
      </c>
      <c r="B4" t="s">
        <v>0</v>
      </c>
      <c r="C4" t="s">
        <v>0</v>
      </c>
      <c r="D4" t="s">
        <v>686</v>
      </c>
      <c r="E4" t="s">
        <v>0</v>
      </c>
      <c r="F4" t="s">
        <v>556</v>
      </c>
    </row>
    <row r="5" spans="1:6" x14ac:dyDescent="0.25">
      <c r="A5" t="s">
        <v>338</v>
      </c>
      <c r="B5" t="s">
        <v>0</v>
      </c>
      <c r="C5" t="s">
        <v>0</v>
      </c>
      <c r="D5" t="s">
        <v>687</v>
      </c>
      <c r="E5" t="s">
        <v>0</v>
      </c>
      <c r="F5" t="s">
        <v>557</v>
      </c>
    </row>
    <row r="6" spans="1:6" x14ac:dyDescent="0.25">
      <c r="A6" t="s">
        <v>0</v>
      </c>
      <c r="B6" t="s">
        <v>0</v>
      </c>
      <c r="C6" t="s">
        <v>0</v>
      </c>
      <c r="D6" t="s">
        <v>688</v>
      </c>
      <c r="E6" t="s">
        <v>0</v>
      </c>
      <c r="F6" t="s">
        <v>558</v>
      </c>
    </row>
    <row r="7" spans="1:6" x14ac:dyDescent="0.25">
      <c r="A7" t="s">
        <v>343</v>
      </c>
      <c r="B7" t="s">
        <v>0</v>
      </c>
      <c r="C7" t="s">
        <v>0</v>
      </c>
      <c r="D7" t="s">
        <v>689</v>
      </c>
      <c r="E7" t="s">
        <v>0</v>
      </c>
      <c r="F7" t="s">
        <v>559</v>
      </c>
    </row>
    <row r="8" spans="1:6" x14ac:dyDescent="0.25">
      <c r="A8" t="s">
        <v>77</v>
      </c>
      <c r="B8" t="s">
        <v>0</v>
      </c>
      <c r="C8" t="s">
        <v>3</v>
      </c>
      <c r="D8" t="s">
        <v>603</v>
      </c>
      <c r="E8" t="s">
        <v>3</v>
      </c>
      <c r="F8" t="s">
        <v>465</v>
      </c>
    </row>
  </sheetData>
  <pageMargins left="0.7" right="0.7" top="0.75" bottom="0.75" header="0.3" footer="0.3"/>
  <ignoredErrors>
    <ignoredError sqref="A1:F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/>
  <dimension ref="A1:D3"/>
  <sheetViews>
    <sheetView workbookViewId="0"/>
  </sheetViews>
  <sheetFormatPr defaultRowHeight="15.75" x14ac:dyDescent="0.25"/>
  <cols>
    <col min="1" max="1" width="60.875" customWidth="1"/>
    <col min="2" max="4" width="10.875" customWidth="1"/>
  </cols>
  <sheetData>
    <row r="1" spans="1:4" x14ac:dyDescent="0.25">
      <c r="A1" t="s">
        <v>195</v>
      </c>
      <c r="B1" t="s">
        <v>644</v>
      </c>
      <c r="C1" t="s">
        <v>508</v>
      </c>
      <c r="D1" t="s">
        <v>509</v>
      </c>
    </row>
    <row r="2" spans="1:4" x14ac:dyDescent="0.25">
      <c r="A2" t="s">
        <v>372</v>
      </c>
      <c r="B2" t="s">
        <v>702</v>
      </c>
      <c r="C2" t="s">
        <v>561</v>
      </c>
      <c r="D2" t="s">
        <v>562</v>
      </c>
    </row>
    <row r="3" spans="1:4" x14ac:dyDescent="0.25">
      <c r="A3" t="s">
        <v>376</v>
      </c>
      <c r="B3" t="s">
        <v>646</v>
      </c>
      <c r="C3" t="s">
        <v>514</v>
      </c>
      <c r="D3" t="s">
        <v>515</v>
      </c>
    </row>
  </sheetData>
  <pageMargins left="0.7" right="0.7" top="0.75" bottom="0.75" header="0.3" footer="0.3"/>
  <ignoredErrors>
    <ignoredError sqref="A1:D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8"/>
  <dimension ref="A1:H12"/>
  <sheetViews>
    <sheetView workbookViewId="0"/>
  </sheetViews>
  <sheetFormatPr defaultRowHeight="15.75" x14ac:dyDescent="0.25"/>
  <cols>
    <col min="1" max="1" width="53.875" customWidth="1"/>
    <col min="2" max="3" width="10.875" customWidth="1"/>
    <col min="4" max="4" width="11.875" customWidth="1"/>
    <col min="5" max="5" width="10.875" customWidth="1"/>
    <col min="6" max="6" width="11.875" customWidth="1"/>
    <col min="7" max="7" width="10.875" customWidth="1"/>
    <col min="8" max="8" width="11.875" customWidth="1"/>
  </cols>
  <sheetData>
    <row r="1" spans="1:8" x14ac:dyDescent="0.25">
      <c r="A1" t="s">
        <v>31</v>
      </c>
      <c r="B1" t="s">
        <v>0</v>
      </c>
      <c r="C1" t="s">
        <v>3</v>
      </c>
      <c r="D1" t="s">
        <v>588</v>
      </c>
      <c r="E1" t="s">
        <v>3</v>
      </c>
      <c r="F1" t="s">
        <v>589</v>
      </c>
      <c r="G1" t="s">
        <v>3</v>
      </c>
      <c r="H1" t="s">
        <v>590</v>
      </c>
    </row>
    <row r="2" spans="1:8" x14ac:dyDescent="0.25">
      <c r="A2" t="s">
        <v>43</v>
      </c>
      <c r="B2" t="s">
        <v>0</v>
      </c>
      <c r="C2" t="s">
        <v>0</v>
      </c>
      <c r="D2" t="s">
        <v>591</v>
      </c>
      <c r="E2" t="s">
        <v>0</v>
      </c>
      <c r="F2" t="s">
        <v>592</v>
      </c>
      <c r="G2" t="s">
        <v>0</v>
      </c>
      <c r="H2" t="s">
        <v>593</v>
      </c>
    </row>
    <row r="3" spans="1:8" x14ac:dyDescent="0.25">
      <c r="A3" t="s">
        <v>144</v>
      </c>
      <c r="B3" t="s">
        <v>0</v>
      </c>
      <c r="C3" t="s">
        <v>0</v>
      </c>
      <c r="D3" t="s">
        <v>716</v>
      </c>
      <c r="E3" t="s">
        <v>0</v>
      </c>
      <c r="F3" t="s">
        <v>717</v>
      </c>
      <c r="G3" t="s">
        <v>0</v>
      </c>
      <c r="H3" t="s">
        <v>627</v>
      </c>
    </row>
    <row r="4" spans="1:8" x14ac:dyDescent="0.25">
      <c r="A4" t="s">
        <v>149</v>
      </c>
      <c r="B4" t="s">
        <v>0</v>
      </c>
      <c r="C4" t="s">
        <v>0</v>
      </c>
      <c r="D4" t="s">
        <v>718</v>
      </c>
      <c r="E4" t="s">
        <v>0</v>
      </c>
      <c r="F4" t="s">
        <v>719</v>
      </c>
      <c r="G4" t="s">
        <v>0</v>
      </c>
      <c r="H4" t="s">
        <v>628</v>
      </c>
    </row>
    <row r="5" spans="1:8" x14ac:dyDescent="0.25">
      <c r="A5" t="s">
        <v>153</v>
      </c>
      <c r="B5" t="s">
        <v>0</v>
      </c>
      <c r="C5" t="s">
        <v>0</v>
      </c>
      <c r="D5" t="s">
        <v>720</v>
      </c>
      <c r="E5" t="s">
        <v>0</v>
      </c>
      <c r="F5" t="s">
        <v>721</v>
      </c>
      <c r="G5" t="s">
        <v>0</v>
      </c>
      <c r="H5" t="s">
        <v>629</v>
      </c>
    </row>
    <row r="6" spans="1:8" x14ac:dyDescent="0.25">
      <c r="A6" t="s">
        <v>157</v>
      </c>
      <c r="B6" t="s">
        <v>0</v>
      </c>
      <c r="C6" t="s">
        <v>0</v>
      </c>
      <c r="D6" t="s">
        <v>722</v>
      </c>
      <c r="E6" t="s">
        <v>0</v>
      </c>
      <c r="F6" t="s">
        <v>723</v>
      </c>
      <c r="G6" t="s">
        <v>0</v>
      </c>
      <c r="H6" t="s">
        <v>630</v>
      </c>
    </row>
    <row r="7" spans="1:8" x14ac:dyDescent="0.25">
      <c r="A7" t="s">
        <v>165</v>
      </c>
      <c r="B7" t="s">
        <v>0</v>
      </c>
      <c r="C7" t="s">
        <v>3</v>
      </c>
      <c r="D7" t="s">
        <v>724</v>
      </c>
      <c r="E7" t="s">
        <v>3</v>
      </c>
      <c r="F7" t="s">
        <v>725</v>
      </c>
      <c r="G7" t="s">
        <v>3</v>
      </c>
      <c r="H7" t="s">
        <v>632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0</v>
      </c>
      <c r="C9" t="s">
        <v>3</v>
      </c>
      <c r="D9" t="s">
        <v>726</v>
      </c>
      <c r="E9" t="s">
        <v>3</v>
      </c>
      <c r="F9" t="s">
        <v>727</v>
      </c>
      <c r="G9" t="s">
        <v>3</v>
      </c>
      <c r="H9" t="s">
        <v>728</v>
      </c>
    </row>
    <row r="10" spans="1:8" x14ac:dyDescent="0.25">
      <c r="A10" t="s">
        <v>402</v>
      </c>
      <c r="B10" t="s">
        <v>0</v>
      </c>
      <c r="C10" t="s">
        <v>0</v>
      </c>
      <c r="D10" t="s">
        <v>729</v>
      </c>
      <c r="E10" t="s">
        <v>0</v>
      </c>
      <c r="F10" t="s">
        <v>730</v>
      </c>
      <c r="G10" t="s">
        <v>0</v>
      </c>
      <c r="H10" t="s">
        <v>731</v>
      </c>
    </row>
    <row r="11" spans="1:8" x14ac:dyDescent="0.25">
      <c r="A11" t="s">
        <v>92</v>
      </c>
      <c r="B11" t="s">
        <v>0</v>
      </c>
      <c r="C11" t="s">
        <v>0</v>
      </c>
      <c r="D11" t="s">
        <v>732</v>
      </c>
      <c r="E11" t="s">
        <v>0</v>
      </c>
      <c r="F11" t="s">
        <v>733</v>
      </c>
      <c r="G11" t="s">
        <v>0</v>
      </c>
      <c r="H11" t="s">
        <v>608</v>
      </c>
    </row>
    <row r="12" spans="1:8" x14ac:dyDescent="0.25">
      <c r="A12" t="s">
        <v>86</v>
      </c>
      <c r="B12" t="s">
        <v>0</v>
      </c>
      <c r="C12" t="s">
        <v>0</v>
      </c>
      <c r="D12" t="s">
        <v>734</v>
      </c>
      <c r="E12" t="s">
        <v>0</v>
      </c>
      <c r="F12" t="s">
        <v>735</v>
      </c>
      <c r="G12" t="s">
        <v>0</v>
      </c>
      <c r="H12" t="s">
        <v>606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9"/>
  <dimension ref="A1:I12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450</v>
      </c>
      <c r="F1" t="s">
        <v>3</v>
      </c>
      <c r="G1" t="s">
        <v>451</v>
      </c>
      <c r="H1" t="s">
        <v>3</v>
      </c>
      <c r="I1" t="s">
        <v>452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453</v>
      </c>
      <c r="F2" t="s">
        <v>0</v>
      </c>
      <c r="G2" t="s">
        <v>454</v>
      </c>
      <c r="H2" t="s">
        <v>0</v>
      </c>
      <c r="I2" t="s">
        <v>455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564</v>
      </c>
      <c r="F3" t="s">
        <v>0</v>
      </c>
      <c r="G3" t="s">
        <v>565</v>
      </c>
      <c r="H3" t="s">
        <v>0</v>
      </c>
      <c r="I3" t="s">
        <v>488</v>
      </c>
    </row>
    <row r="4" spans="1:9" x14ac:dyDescent="0.25">
      <c r="A4" t="s">
        <v>149</v>
      </c>
      <c r="B4" t="s">
        <v>0</v>
      </c>
      <c r="C4" t="s">
        <v>0</v>
      </c>
      <c r="D4" t="s">
        <v>0</v>
      </c>
      <c r="E4" t="s">
        <v>566</v>
      </c>
      <c r="F4" t="s">
        <v>0</v>
      </c>
      <c r="G4" t="s">
        <v>567</v>
      </c>
      <c r="H4" t="s">
        <v>0</v>
      </c>
      <c r="I4" t="s">
        <v>489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568</v>
      </c>
      <c r="F5" t="s">
        <v>0</v>
      </c>
      <c r="G5" t="s">
        <v>569</v>
      </c>
      <c r="H5" t="s">
        <v>0</v>
      </c>
      <c r="I5" t="s">
        <v>490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570</v>
      </c>
      <c r="F6" t="s">
        <v>0</v>
      </c>
      <c r="G6" t="s">
        <v>571</v>
      </c>
      <c r="H6" t="s">
        <v>0</v>
      </c>
      <c r="I6" t="s">
        <v>491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572</v>
      </c>
      <c r="F7" t="s">
        <v>3</v>
      </c>
      <c r="G7" t="s">
        <v>573</v>
      </c>
      <c r="H7" t="s">
        <v>3</v>
      </c>
      <c r="I7" t="s">
        <v>493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574</v>
      </c>
      <c r="F9" t="s">
        <v>3</v>
      </c>
      <c r="G9" t="s">
        <v>575</v>
      </c>
      <c r="H9" t="s">
        <v>3</v>
      </c>
      <c r="I9" t="s">
        <v>576</v>
      </c>
    </row>
    <row r="10" spans="1:9" x14ac:dyDescent="0.25">
      <c r="A10" t="s">
        <v>402</v>
      </c>
      <c r="B10" t="s">
        <v>0</v>
      </c>
      <c r="C10" t="s">
        <v>0</v>
      </c>
      <c r="D10" t="s">
        <v>0</v>
      </c>
      <c r="E10" t="s">
        <v>577</v>
      </c>
      <c r="F10" t="s">
        <v>0</v>
      </c>
      <c r="G10" t="s">
        <v>578</v>
      </c>
      <c r="H10" t="s">
        <v>0</v>
      </c>
      <c r="I10" t="s">
        <v>579</v>
      </c>
    </row>
    <row r="11" spans="1:9" x14ac:dyDescent="0.25">
      <c r="A11" t="s">
        <v>92</v>
      </c>
      <c r="B11" t="s">
        <v>0</v>
      </c>
      <c r="C11" t="s">
        <v>0</v>
      </c>
      <c r="D11" t="s">
        <v>0</v>
      </c>
      <c r="E11" t="s">
        <v>580</v>
      </c>
      <c r="F11" t="s">
        <v>0</v>
      </c>
      <c r="G11" t="s">
        <v>581</v>
      </c>
      <c r="H11" t="s">
        <v>0</v>
      </c>
      <c r="I11" t="s">
        <v>470</v>
      </c>
    </row>
    <row r="12" spans="1:9" x14ac:dyDescent="0.25">
      <c r="A12" t="s">
        <v>86</v>
      </c>
      <c r="B12" t="s">
        <v>0</v>
      </c>
      <c r="C12" t="s">
        <v>0</v>
      </c>
      <c r="D12" t="s">
        <v>0</v>
      </c>
      <c r="E12" t="s">
        <v>408</v>
      </c>
      <c r="F12" t="s">
        <v>0</v>
      </c>
      <c r="G12" t="s">
        <v>582</v>
      </c>
      <c r="H12" t="s">
        <v>0</v>
      </c>
      <c r="I12" t="s">
        <v>468</v>
      </c>
    </row>
  </sheetData>
  <pageMargins left="0.7" right="0.7" top="0.75" bottom="0.75" header="0.3" footer="0.3"/>
  <ignoredErrors>
    <ignoredError sqref="A1:I12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0"/>
  <dimension ref="A1:G12"/>
  <sheetViews>
    <sheetView workbookViewId="0"/>
  </sheetViews>
  <sheetFormatPr defaultRowHeight="15.75" x14ac:dyDescent="0.25"/>
  <cols>
    <col min="1" max="1" width="53.875" customWidth="1"/>
    <col min="2" max="2" width="10.875" customWidth="1"/>
    <col min="3" max="3" width="11.875" customWidth="1"/>
    <col min="4" max="6" width="10.875" customWidth="1"/>
    <col min="7" max="7" width="11.875" customWidth="1"/>
  </cols>
  <sheetData>
    <row r="1" spans="1:7" x14ac:dyDescent="0.25">
      <c r="A1" t="s">
        <v>31</v>
      </c>
      <c r="B1" t="s">
        <v>3</v>
      </c>
      <c r="C1" t="s">
        <v>32</v>
      </c>
      <c r="D1" t="s">
        <v>3</v>
      </c>
      <c r="E1" t="s">
        <v>36</v>
      </c>
      <c r="F1" t="s">
        <v>3</v>
      </c>
      <c r="G1" t="s">
        <v>40</v>
      </c>
    </row>
    <row r="2" spans="1:7" x14ac:dyDescent="0.25">
      <c r="A2" t="s">
        <v>43</v>
      </c>
      <c r="B2" t="s">
        <v>0</v>
      </c>
      <c r="C2" t="s">
        <v>44</v>
      </c>
      <c r="D2" t="s">
        <v>0</v>
      </c>
      <c r="E2" t="s">
        <v>47</v>
      </c>
      <c r="F2" t="s">
        <v>0</v>
      </c>
      <c r="G2" t="s">
        <v>51</v>
      </c>
    </row>
    <row r="3" spans="1:7" x14ac:dyDescent="0.25">
      <c r="A3" t="s">
        <v>144</v>
      </c>
      <c r="B3" t="s">
        <v>0</v>
      </c>
      <c r="C3" t="s">
        <v>388</v>
      </c>
      <c r="D3" t="s">
        <v>0</v>
      </c>
      <c r="E3" t="s">
        <v>389</v>
      </c>
      <c r="F3" t="s">
        <v>0</v>
      </c>
      <c r="G3" t="s">
        <v>145</v>
      </c>
    </row>
    <row r="4" spans="1:7" x14ac:dyDescent="0.25">
      <c r="A4" t="s">
        <v>149</v>
      </c>
      <c r="B4" t="s">
        <v>0</v>
      </c>
      <c r="C4" t="s">
        <v>390</v>
      </c>
      <c r="D4" t="s">
        <v>0</v>
      </c>
      <c r="E4" t="s">
        <v>391</v>
      </c>
      <c r="F4" t="s">
        <v>0</v>
      </c>
      <c r="G4" t="s">
        <v>150</v>
      </c>
    </row>
    <row r="5" spans="1:7" x14ac:dyDescent="0.25">
      <c r="A5" t="s">
        <v>153</v>
      </c>
      <c r="B5" t="s">
        <v>0</v>
      </c>
      <c r="C5" t="s">
        <v>392</v>
      </c>
      <c r="D5" t="s">
        <v>0</v>
      </c>
      <c r="E5" t="s">
        <v>393</v>
      </c>
      <c r="F5" t="s">
        <v>0</v>
      </c>
      <c r="G5" t="s">
        <v>154</v>
      </c>
    </row>
    <row r="6" spans="1:7" x14ac:dyDescent="0.25">
      <c r="A6" t="s">
        <v>157</v>
      </c>
      <c r="B6" t="s">
        <v>0</v>
      </c>
      <c r="C6" t="s">
        <v>394</v>
      </c>
      <c r="D6" t="s">
        <v>0</v>
      </c>
      <c r="E6" t="s">
        <v>395</v>
      </c>
      <c r="F6" t="s">
        <v>0</v>
      </c>
      <c r="G6" t="s">
        <v>158</v>
      </c>
    </row>
    <row r="7" spans="1:7" x14ac:dyDescent="0.25">
      <c r="A7" t="s">
        <v>165</v>
      </c>
      <c r="B7" t="s">
        <v>3</v>
      </c>
      <c r="C7" t="s">
        <v>396</v>
      </c>
      <c r="D7" t="s">
        <v>3</v>
      </c>
      <c r="E7" t="s">
        <v>397</v>
      </c>
      <c r="F7" t="s">
        <v>3</v>
      </c>
      <c r="G7" t="s">
        <v>166</v>
      </c>
    </row>
    <row r="8" spans="1:7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</row>
    <row r="9" spans="1:7" x14ac:dyDescent="0.25">
      <c r="A9" t="s">
        <v>398</v>
      </c>
      <c r="B9" t="s">
        <v>3</v>
      </c>
      <c r="C9" t="s">
        <v>399</v>
      </c>
      <c r="D9" t="s">
        <v>3</v>
      </c>
      <c r="E9" t="s">
        <v>400</v>
      </c>
      <c r="F9" t="s">
        <v>3</v>
      </c>
      <c r="G9" t="s">
        <v>401</v>
      </c>
    </row>
    <row r="10" spans="1:7" x14ac:dyDescent="0.25">
      <c r="A10" t="s">
        <v>402</v>
      </c>
      <c r="B10" t="s">
        <v>0</v>
      </c>
      <c r="C10" t="s">
        <v>403</v>
      </c>
      <c r="D10" t="s">
        <v>0</v>
      </c>
      <c r="E10" t="s">
        <v>404</v>
      </c>
      <c r="F10" t="s">
        <v>0</v>
      </c>
      <c r="G10" t="s">
        <v>405</v>
      </c>
    </row>
    <row r="11" spans="1:7" x14ac:dyDescent="0.25">
      <c r="A11" t="s">
        <v>92</v>
      </c>
      <c r="B11" t="s">
        <v>0</v>
      </c>
      <c r="C11" t="s">
        <v>406</v>
      </c>
      <c r="D11" t="s">
        <v>0</v>
      </c>
      <c r="E11" t="s">
        <v>407</v>
      </c>
      <c r="F11" t="s">
        <v>0</v>
      </c>
      <c r="G11" t="s">
        <v>93</v>
      </c>
    </row>
    <row r="12" spans="1:7" x14ac:dyDescent="0.25">
      <c r="A12" t="s">
        <v>86</v>
      </c>
      <c r="B12" t="s">
        <v>0</v>
      </c>
      <c r="C12" t="s">
        <v>408</v>
      </c>
      <c r="D12" t="s">
        <v>0</v>
      </c>
      <c r="E12" t="s">
        <v>409</v>
      </c>
      <c r="F12" t="s">
        <v>0</v>
      </c>
      <c r="G12" t="s">
        <v>87</v>
      </c>
    </row>
  </sheetData>
  <pageMargins left="0.7" right="0.7" top="0.75" bottom="0.75" header="0.3" footer="0.3"/>
  <ignoredErrors>
    <ignoredError sqref="A1:G12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4">
    <tabColor theme="3" tint="-0.249977111117893"/>
  </sheetPr>
  <dimension ref="A1:E37"/>
  <sheetViews>
    <sheetView topLeftCell="B1" workbookViewId="0">
      <selection activeCell="C3" sqref="C3"/>
    </sheetView>
  </sheetViews>
  <sheetFormatPr defaultRowHeight="15.75" x14ac:dyDescent="0.25"/>
  <cols>
    <col min="1" max="2" width="60.875" customWidth="1"/>
    <col min="3" max="3" width="12.875" customWidth="1"/>
    <col min="4" max="5" width="11.875" customWidth="1"/>
  </cols>
  <sheetData>
    <row r="1" spans="1:5" x14ac:dyDescent="0.25">
      <c r="A1" t="s">
        <v>54</v>
      </c>
      <c r="B1" t="s">
        <v>0</v>
      </c>
      <c r="C1" t="s">
        <v>0</v>
      </c>
      <c r="D1" t="s">
        <v>0</v>
      </c>
    </row>
    <row r="2" spans="1:5" x14ac:dyDescent="0.25">
      <c r="A2" t="s">
        <v>55</v>
      </c>
      <c r="B2" t="s">
        <v>0</v>
      </c>
      <c r="C2" t="s">
        <v>0</v>
      </c>
      <c r="D2" t="s">
        <v>0</v>
      </c>
    </row>
    <row r="3" spans="1:5" x14ac:dyDescent="0.25">
      <c r="A3" t="s">
        <v>595</v>
      </c>
      <c r="C3" t="s">
        <v>746</v>
      </c>
      <c r="E3" t="s">
        <v>596</v>
      </c>
    </row>
    <row r="4" spans="1:5" x14ac:dyDescent="0.25">
      <c r="A4" t="s">
        <v>457</v>
      </c>
      <c r="C4" t="s">
        <v>747</v>
      </c>
      <c r="E4" t="s">
        <v>597</v>
      </c>
    </row>
    <row r="5" spans="1:5" x14ac:dyDescent="0.25">
      <c r="A5" t="s">
        <v>59</v>
      </c>
      <c r="C5" t="s">
        <v>748</v>
      </c>
      <c r="E5" t="s">
        <v>598</v>
      </c>
    </row>
    <row r="6" spans="1:5" x14ac:dyDescent="0.25">
      <c r="A6" t="s">
        <v>62</v>
      </c>
      <c r="C6" t="s">
        <v>749</v>
      </c>
      <c r="E6" t="s">
        <v>599</v>
      </c>
    </row>
    <row r="7" spans="1:5" x14ac:dyDescent="0.25">
      <c r="A7" t="s">
        <v>65</v>
      </c>
      <c r="C7" t="s">
        <v>750</v>
      </c>
      <c r="E7" t="s">
        <v>600</v>
      </c>
    </row>
    <row r="8" spans="1:5" x14ac:dyDescent="0.25">
      <c r="A8" t="s">
        <v>68</v>
      </c>
      <c r="C8" t="s">
        <v>751</v>
      </c>
      <c r="E8" t="s">
        <v>4</v>
      </c>
    </row>
    <row r="9" spans="1:5" x14ac:dyDescent="0.25">
      <c r="A9" t="s">
        <v>71</v>
      </c>
      <c r="C9" t="s">
        <v>752</v>
      </c>
      <c r="E9" t="s">
        <v>601</v>
      </c>
    </row>
    <row r="10" spans="1:5" x14ac:dyDescent="0.25">
      <c r="A10" t="s">
        <v>74</v>
      </c>
      <c r="C10" t="s">
        <v>753</v>
      </c>
      <c r="E10" t="s">
        <v>602</v>
      </c>
    </row>
    <row r="11" spans="1:5" x14ac:dyDescent="0.25">
      <c r="A11" t="s">
        <v>77</v>
      </c>
      <c r="C11" t="s">
        <v>754</v>
      </c>
      <c r="E11" t="s">
        <v>603</v>
      </c>
    </row>
    <row r="12" spans="1:5" x14ac:dyDescent="0.25">
      <c r="A12" t="s">
        <v>80</v>
      </c>
      <c r="C12" t="s">
        <v>755</v>
      </c>
      <c r="E12" t="s">
        <v>604</v>
      </c>
    </row>
    <row r="13" spans="1:5" x14ac:dyDescent="0.25">
      <c r="A13" t="s">
        <v>83</v>
      </c>
      <c r="B13" t="s">
        <v>0</v>
      </c>
      <c r="C13" t="s">
        <v>756</v>
      </c>
      <c r="D13" t="s">
        <v>0</v>
      </c>
      <c r="E13" t="s">
        <v>605</v>
      </c>
    </row>
    <row r="14" spans="1:5" x14ac:dyDescent="0.25">
      <c r="A14" t="s">
        <v>86</v>
      </c>
      <c r="B14" t="s">
        <v>0</v>
      </c>
      <c r="C14" t="s">
        <v>757</v>
      </c>
      <c r="D14" t="s">
        <v>0</v>
      </c>
      <c r="E14" t="s">
        <v>606</v>
      </c>
    </row>
    <row r="15" spans="1:5" x14ac:dyDescent="0.25">
      <c r="A15" t="s">
        <v>89</v>
      </c>
      <c r="B15" t="s">
        <v>0</v>
      </c>
      <c r="C15" t="s">
        <v>758</v>
      </c>
      <c r="D15" t="s">
        <v>0</v>
      </c>
      <c r="E15" t="s">
        <v>607</v>
      </c>
    </row>
    <row r="16" spans="1:5" x14ac:dyDescent="0.25">
      <c r="A16" t="s">
        <v>92</v>
      </c>
      <c r="B16" t="s">
        <v>3</v>
      </c>
      <c r="C16" t="s">
        <v>759</v>
      </c>
      <c r="D16" t="s">
        <v>3</v>
      </c>
      <c r="E16" t="s">
        <v>608</v>
      </c>
    </row>
    <row r="17" spans="1:5" x14ac:dyDescent="0.25">
      <c r="A17" t="s">
        <v>0</v>
      </c>
      <c r="B17" t="s">
        <v>609</v>
      </c>
      <c r="C17" t="s">
        <v>0</v>
      </c>
      <c r="D17" t="s">
        <v>0</v>
      </c>
      <c r="E17" t="s">
        <v>0</v>
      </c>
    </row>
    <row r="18" spans="1:5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</row>
    <row r="19" spans="1:5" x14ac:dyDescent="0.25">
      <c r="A19" t="s">
        <v>97</v>
      </c>
      <c r="B19" t="s">
        <v>3</v>
      </c>
      <c r="C19" t="s">
        <v>760</v>
      </c>
      <c r="D19" t="s">
        <v>3</v>
      </c>
      <c r="E19" t="s">
        <v>610</v>
      </c>
    </row>
    <row r="20" spans="1:5" x14ac:dyDescent="0.25">
      <c r="A20" t="s">
        <v>100</v>
      </c>
      <c r="B20" t="s">
        <v>0</v>
      </c>
      <c r="C20" t="s">
        <v>761</v>
      </c>
      <c r="D20" t="s">
        <v>0</v>
      </c>
      <c r="E20" t="s">
        <v>611</v>
      </c>
    </row>
    <row r="21" spans="1:5" x14ac:dyDescent="0.25">
      <c r="A21" t="s">
        <v>103</v>
      </c>
      <c r="B21" t="s">
        <v>0</v>
      </c>
      <c r="C21" t="s">
        <v>762</v>
      </c>
      <c r="D21" t="s">
        <v>0</v>
      </c>
      <c r="E21" t="s">
        <v>612</v>
      </c>
    </row>
    <row r="22" spans="1:5" x14ac:dyDescent="0.25">
      <c r="A22" t="s">
        <v>105</v>
      </c>
      <c r="B22" t="s">
        <v>0</v>
      </c>
      <c r="C22" t="s">
        <v>763</v>
      </c>
      <c r="D22" t="s">
        <v>0</v>
      </c>
      <c r="E22" t="s">
        <v>613</v>
      </c>
    </row>
    <row r="23" spans="1:5" x14ac:dyDescent="0.25">
      <c r="A23" t="s">
        <v>108</v>
      </c>
      <c r="B23" t="s">
        <v>0</v>
      </c>
      <c r="C23" t="s">
        <v>764</v>
      </c>
      <c r="D23" t="s">
        <v>0</v>
      </c>
      <c r="E23" t="s">
        <v>614</v>
      </c>
    </row>
    <row r="24" spans="1:5" x14ac:dyDescent="0.25">
      <c r="A24" t="s">
        <v>111</v>
      </c>
      <c r="B24" t="s">
        <v>0</v>
      </c>
      <c r="C24" t="s">
        <v>765</v>
      </c>
      <c r="D24" t="s">
        <v>0</v>
      </c>
      <c r="E24" t="s">
        <v>615</v>
      </c>
    </row>
    <row r="25" spans="1:5" x14ac:dyDescent="0.25">
      <c r="A25" t="s">
        <v>103</v>
      </c>
      <c r="B25" t="s">
        <v>0</v>
      </c>
      <c r="C25" t="s">
        <v>766</v>
      </c>
      <c r="D25" t="s">
        <v>0</v>
      </c>
      <c r="E25" t="s">
        <v>616</v>
      </c>
    </row>
    <row r="26" spans="1:5" x14ac:dyDescent="0.25">
      <c r="A26" t="s">
        <v>116</v>
      </c>
      <c r="B26" t="s">
        <v>0</v>
      </c>
      <c r="C26" t="s">
        <v>767</v>
      </c>
      <c r="D26" t="s">
        <v>0</v>
      </c>
      <c r="E26" t="s">
        <v>617</v>
      </c>
    </row>
    <row r="27" spans="1:5" x14ac:dyDescent="0.25">
      <c r="A27" t="s">
        <v>122</v>
      </c>
      <c r="B27" t="s">
        <v>0</v>
      </c>
      <c r="C27" t="s">
        <v>768</v>
      </c>
      <c r="D27" t="s">
        <v>0</v>
      </c>
      <c r="E27" t="s">
        <v>618</v>
      </c>
    </row>
    <row r="28" spans="1:5" x14ac:dyDescent="0.25">
      <c r="A28" t="s">
        <v>125</v>
      </c>
      <c r="B28" t="s">
        <v>0</v>
      </c>
      <c r="C28" t="s">
        <v>0</v>
      </c>
      <c r="D28" t="s">
        <v>0</v>
      </c>
      <c r="E28" t="s">
        <v>0</v>
      </c>
    </row>
    <row r="29" spans="1:5" x14ac:dyDescent="0.25">
      <c r="A29" t="s">
        <v>619</v>
      </c>
      <c r="B29" t="s">
        <v>0</v>
      </c>
      <c r="C29" t="s">
        <v>769</v>
      </c>
      <c r="D29" t="s">
        <v>0</v>
      </c>
      <c r="E29" t="s">
        <v>620</v>
      </c>
    </row>
    <row r="30" spans="1:5" x14ac:dyDescent="0.25">
      <c r="A30" t="s">
        <v>126</v>
      </c>
      <c r="B30" t="s">
        <v>0</v>
      </c>
      <c r="C30" t="s">
        <v>0</v>
      </c>
      <c r="D30" t="s">
        <v>0</v>
      </c>
      <c r="E30" t="s">
        <v>0</v>
      </c>
    </row>
    <row r="31" spans="1:5" x14ac:dyDescent="0.25">
      <c r="A31" t="s">
        <v>127</v>
      </c>
      <c r="B31" t="s">
        <v>0</v>
      </c>
      <c r="C31" t="s">
        <v>4</v>
      </c>
      <c r="D31" t="s">
        <v>0</v>
      </c>
      <c r="E31" t="s">
        <v>4</v>
      </c>
    </row>
    <row r="32" spans="1:5" x14ac:dyDescent="0.25">
      <c r="A32" t="s">
        <v>770</v>
      </c>
      <c r="B32" t="s">
        <v>0</v>
      </c>
      <c r="C32" t="s">
        <v>771</v>
      </c>
      <c r="D32" t="s">
        <v>0</v>
      </c>
      <c r="E32" t="s">
        <v>482</v>
      </c>
    </row>
    <row r="33" spans="1:5" x14ac:dyDescent="0.25">
      <c r="A33" t="s">
        <v>130</v>
      </c>
      <c r="B33" t="s">
        <v>0</v>
      </c>
      <c r="C33" t="s">
        <v>772</v>
      </c>
      <c r="D33" t="s">
        <v>0</v>
      </c>
      <c r="E33" t="s">
        <v>622</v>
      </c>
    </row>
    <row r="34" spans="1:5" x14ac:dyDescent="0.25">
      <c r="A34" t="s">
        <v>133</v>
      </c>
      <c r="B34" t="s">
        <v>0</v>
      </c>
      <c r="C34" t="s">
        <v>773</v>
      </c>
      <c r="D34" t="s">
        <v>0</v>
      </c>
      <c r="E34" t="s">
        <v>623</v>
      </c>
    </row>
    <row r="35" spans="1:5" x14ac:dyDescent="0.25">
      <c r="A35" t="s">
        <v>136</v>
      </c>
      <c r="B35" t="s">
        <v>0</v>
      </c>
      <c r="C35" t="s">
        <v>774</v>
      </c>
      <c r="D35" t="s">
        <v>0</v>
      </c>
      <c r="E35" t="s">
        <v>624</v>
      </c>
    </row>
    <row r="36" spans="1:5" x14ac:dyDescent="0.25">
      <c r="A36" t="s">
        <v>139</v>
      </c>
      <c r="B36" t="s">
        <v>0</v>
      </c>
      <c r="C36" t="s">
        <v>775</v>
      </c>
      <c r="D36" t="s">
        <v>0</v>
      </c>
      <c r="E36" t="s">
        <v>625</v>
      </c>
    </row>
    <row r="37" spans="1:5" x14ac:dyDescent="0.25">
      <c r="A37" t="s">
        <v>626</v>
      </c>
      <c r="B37" t="s">
        <v>3</v>
      </c>
      <c r="C37" t="s">
        <v>759</v>
      </c>
      <c r="D37" t="s">
        <v>3</v>
      </c>
      <c r="E37" t="s">
        <v>608</v>
      </c>
    </row>
  </sheetData>
  <pageMargins left="0.7" right="0.7" top="0.75" bottom="0.75" header="0.3" footer="0.3"/>
  <ignoredErrors>
    <ignoredError sqref="A1:E2 A13:E37 A3:A1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5">
    <tabColor theme="3" tint="0.39997558519241921"/>
  </sheetPr>
  <dimension ref="A1:G25"/>
  <sheetViews>
    <sheetView workbookViewId="0">
      <selection activeCell="A7" sqref="A7"/>
    </sheetView>
  </sheetViews>
  <sheetFormatPr defaultRowHeight="15.75" x14ac:dyDescent="0.25"/>
  <cols>
    <col min="1" max="1" width="60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31</v>
      </c>
      <c r="B2" t="s">
        <v>3</v>
      </c>
      <c r="C2" t="s">
        <v>742</v>
      </c>
      <c r="D2" t="s">
        <v>3</v>
      </c>
      <c r="E2" t="s">
        <v>590</v>
      </c>
      <c r="F2" t="s">
        <v>3</v>
      </c>
      <c r="G2" t="s">
        <v>452</v>
      </c>
    </row>
    <row r="3" spans="1:7" x14ac:dyDescent="0.25">
      <c r="A3" t="s">
        <v>43</v>
      </c>
      <c r="B3" t="s">
        <v>0</v>
      </c>
      <c r="C3" t="s">
        <v>745</v>
      </c>
      <c r="D3" t="s">
        <v>0</v>
      </c>
      <c r="E3" t="s">
        <v>593</v>
      </c>
      <c r="F3" t="s">
        <v>0</v>
      </c>
      <c r="G3" t="s">
        <v>455</v>
      </c>
    </row>
    <row r="4" spans="1:7" x14ac:dyDescent="0.25">
      <c r="A4" t="s">
        <v>144</v>
      </c>
      <c r="B4" t="s">
        <v>0</v>
      </c>
      <c r="C4" t="s">
        <v>776</v>
      </c>
      <c r="D4" t="s">
        <v>0</v>
      </c>
      <c r="E4" t="s">
        <v>627</v>
      </c>
      <c r="F4" t="s">
        <v>0</v>
      </c>
      <c r="G4" t="s">
        <v>488</v>
      </c>
    </row>
    <row r="5" spans="1:7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 x14ac:dyDescent="0.25">
      <c r="A6" t="s">
        <v>777</v>
      </c>
      <c r="B6" t="s">
        <v>0</v>
      </c>
      <c r="C6" t="s">
        <v>778</v>
      </c>
      <c r="D6" t="s">
        <v>0</v>
      </c>
      <c r="E6" t="s">
        <v>628</v>
      </c>
      <c r="F6" t="s">
        <v>0</v>
      </c>
      <c r="G6" t="s">
        <v>489</v>
      </c>
    </row>
    <row r="7" spans="1:7" x14ac:dyDescent="0.25">
      <c r="A7" t="s">
        <v>153</v>
      </c>
      <c r="B7" t="s">
        <v>0</v>
      </c>
      <c r="C7" t="s">
        <v>779</v>
      </c>
      <c r="D7" t="s">
        <v>0</v>
      </c>
      <c r="E7" t="s">
        <v>629</v>
      </c>
      <c r="F7" t="s">
        <v>0</v>
      </c>
      <c r="G7" t="s">
        <v>490</v>
      </c>
    </row>
    <row r="8" spans="1:7" x14ac:dyDescent="0.25">
      <c r="A8" t="s">
        <v>157</v>
      </c>
      <c r="B8" t="s">
        <v>0</v>
      </c>
      <c r="C8" t="s">
        <v>780</v>
      </c>
      <c r="D8" t="s">
        <v>0</v>
      </c>
      <c r="E8" t="s">
        <v>630</v>
      </c>
      <c r="F8" t="s">
        <v>0</v>
      </c>
      <c r="G8" t="s">
        <v>491</v>
      </c>
    </row>
    <row r="9" spans="1:7" x14ac:dyDescent="0.25">
      <c r="A9" t="s">
        <v>161</v>
      </c>
      <c r="B9" t="s">
        <v>0</v>
      </c>
      <c r="C9" t="s">
        <v>781</v>
      </c>
      <c r="D9" t="s">
        <v>0</v>
      </c>
      <c r="E9" t="s">
        <v>631</v>
      </c>
      <c r="F9" t="s">
        <v>0</v>
      </c>
      <c r="G9" t="s">
        <v>492</v>
      </c>
    </row>
    <row r="10" spans="1:7" x14ac:dyDescent="0.25">
      <c r="A10" t="s">
        <v>165</v>
      </c>
      <c r="B10" t="s">
        <v>0</v>
      </c>
      <c r="C10" t="s">
        <v>782</v>
      </c>
      <c r="D10" t="s">
        <v>0</v>
      </c>
      <c r="E10" t="s">
        <v>632</v>
      </c>
      <c r="F10" t="s">
        <v>0</v>
      </c>
      <c r="G10" t="s">
        <v>493</v>
      </c>
    </row>
    <row r="11" spans="1:7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495</v>
      </c>
      <c r="B12" t="s">
        <v>0</v>
      </c>
      <c r="C12" t="s">
        <v>783</v>
      </c>
      <c r="D12" t="s">
        <v>0</v>
      </c>
      <c r="E12" t="s">
        <v>633</v>
      </c>
      <c r="F12" t="s">
        <v>0</v>
      </c>
      <c r="G12" t="s">
        <v>496</v>
      </c>
    </row>
    <row r="13" spans="1:7" x14ac:dyDescent="0.25">
      <c r="A13" t="s">
        <v>498</v>
      </c>
      <c r="B13" t="s">
        <v>0</v>
      </c>
      <c r="C13" t="s">
        <v>784</v>
      </c>
      <c r="D13" t="s">
        <v>0</v>
      </c>
      <c r="E13" t="s">
        <v>634</v>
      </c>
      <c r="F13" t="s">
        <v>0</v>
      </c>
      <c r="G13" t="s">
        <v>499</v>
      </c>
    </row>
    <row r="14" spans="1:7" x14ac:dyDescent="0.25">
      <c r="A14" t="s">
        <v>635</v>
      </c>
      <c r="B14" t="s">
        <v>0</v>
      </c>
      <c r="C14" t="s">
        <v>785</v>
      </c>
      <c r="D14" t="s">
        <v>0</v>
      </c>
      <c r="E14" t="s">
        <v>583</v>
      </c>
      <c r="F14" t="s">
        <v>0</v>
      </c>
      <c r="G14" t="s">
        <v>501</v>
      </c>
    </row>
    <row r="15" spans="1:7" x14ac:dyDescent="0.25">
      <c r="A15" t="s">
        <v>182</v>
      </c>
      <c r="B15" t="s">
        <v>0</v>
      </c>
      <c r="C15" t="s">
        <v>786</v>
      </c>
      <c r="D15" t="s">
        <v>0</v>
      </c>
      <c r="E15" t="s">
        <v>637</v>
      </c>
      <c r="F15" t="s">
        <v>0</v>
      </c>
      <c r="G15" t="s">
        <v>502</v>
      </c>
    </row>
    <row r="16" spans="1:7" x14ac:dyDescent="0.25">
      <c r="A16" t="s">
        <v>186</v>
      </c>
      <c r="B16" t="s">
        <v>0</v>
      </c>
      <c r="C16" t="s">
        <v>787</v>
      </c>
      <c r="D16" t="s">
        <v>0</v>
      </c>
      <c r="E16" t="s">
        <v>584</v>
      </c>
      <c r="F16" t="s">
        <v>0</v>
      </c>
      <c r="G16" t="s">
        <v>503</v>
      </c>
    </row>
    <row r="17" spans="1:7" x14ac:dyDescent="0.25">
      <c r="A17" t="s">
        <v>187</v>
      </c>
      <c r="B17" t="s">
        <v>0</v>
      </c>
      <c r="C17" t="s">
        <v>788</v>
      </c>
      <c r="D17" t="s">
        <v>0</v>
      </c>
      <c r="E17" t="s">
        <v>638</v>
      </c>
      <c r="F17" t="s">
        <v>0</v>
      </c>
      <c r="G17" t="s">
        <v>504</v>
      </c>
    </row>
    <row r="18" spans="1:7" x14ac:dyDescent="0.25">
      <c r="A18" t="s">
        <v>639</v>
      </c>
      <c r="B18" t="s">
        <v>0</v>
      </c>
      <c r="C18" t="s">
        <v>789</v>
      </c>
      <c r="D18" t="s">
        <v>0</v>
      </c>
      <c r="E18" t="s">
        <v>640</v>
      </c>
      <c r="F18" t="s">
        <v>0</v>
      </c>
      <c r="G18" t="s">
        <v>4</v>
      </c>
    </row>
    <row r="19" spans="1:7" x14ac:dyDescent="0.25">
      <c r="A19" t="s">
        <v>641</v>
      </c>
      <c r="B19" t="s">
        <v>3</v>
      </c>
      <c r="C19" t="s">
        <v>790</v>
      </c>
      <c r="D19" t="s">
        <v>3</v>
      </c>
      <c r="E19" t="s">
        <v>642</v>
      </c>
      <c r="F19" t="s">
        <v>3</v>
      </c>
      <c r="G19" t="s">
        <v>504</v>
      </c>
    </row>
    <row r="20" spans="1:7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</row>
    <row r="21" spans="1:7" x14ac:dyDescent="0.25">
      <c r="A21" t="s">
        <v>191</v>
      </c>
      <c r="B21" t="s">
        <v>3</v>
      </c>
      <c r="C21" t="s">
        <v>791</v>
      </c>
      <c r="D21" t="s">
        <v>3</v>
      </c>
      <c r="E21" t="s">
        <v>643</v>
      </c>
      <c r="F21" t="s">
        <v>3</v>
      </c>
      <c r="G21" t="s">
        <v>505</v>
      </c>
    </row>
    <row r="22" spans="1:7" x14ac:dyDescent="0.25">
      <c r="A22" t="s">
        <v>195</v>
      </c>
      <c r="B22" t="s">
        <v>0</v>
      </c>
      <c r="C22" t="s">
        <v>792</v>
      </c>
      <c r="D22" t="s">
        <v>0</v>
      </c>
      <c r="E22" t="s">
        <v>644</v>
      </c>
      <c r="F22" t="s">
        <v>0</v>
      </c>
      <c r="G22" t="s">
        <v>508</v>
      </c>
    </row>
    <row r="23" spans="1:7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</row>
    <row r="24" spans="1:7" x14ac:dyDescent="0.25">
      <c r="A24" t="s">
        <v>199</v>
      </c>
      <c r="B24" t="s">
        <v>3</v>
      </c>
      <c r="C24" t="s">
        <v>793</v>
      </c>
      <c r="D24" t="s">
        <v>3</v>
      </c>
      <c r="E24" t="s">
        <v>645</v>
      </c>
      <c r="F24" t="s">
        <v>3</v>
      </c>
      <c r="G24" t="s">
        <v>511</v>
      </c>
    </row>
    <row r="25" spans="1:7" x14ac:dyDescent="0.25">
      <c r="A25" t="s">
        <v>203</v>
      </c>
      <c r="B25" t="s">
        <v>0</v>
      </c>
      <c r="C25" t="s">
        <v>794</v>
      </c>
      <c r="D25" t="s">
        <v>0</v>
      </c>
      <c r="E25" t="s">
        <v>646</v>
      </c>
      <c r="F25" t="s">
        <v>0</v>
      </c>
      <c r="G25" t="s">
        <v>514</v>
      </c>
    </row>
  </sheetData>
  <pageMargins left="0.7" right="0.7" top="0.75" bottom="0.75" header="0.3" footer="0.3"/>
  <ignoredErrors>
    <ignoredError sqref="A1:G2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8">
    <tabColor theme="3" tint="-0.249977111117893"/>
  </sheetPr>
  <dimension ref="A1:G45"/>
  <sheetViews>
    <sheetView topLeftCell="B25" workbookViewId="0">
      <selection activeCell="A9" sqref="A9"/>
    </sheetView>
  </sheetViews>
  <sheetFormatPr defaultRowHeight="15.75" x14ac:dyDescent="0.25"/>
  <cols>
    <col min="1" max="1" width="60.875" customWidth="1"/>
    <col min="2" max="2" width="10.875" customWidth="1"/>
    <col min="3" max="3" width="13.875" customWidth="1"/>
    <col min="4" max="4" width="10.875" customWidth="1"/>
    <col min="5" max="5" width="13.875" customWidth="1"/>
    <col min="6" max="6" width="10.875" customWidth="1"/>
    <col min="7" max="7" width="13.875" customWidth="1"/>
  </cols>
  <sheetData>
    <row r="1" spans="1:7" x14ac:dyDescent="0.25">
      <c r="A1" t="s">
        <v>216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187</v>
      </c>
      <c r="B2" t="s">
        <v>3</v>
      </c>
      <c r="C2" t="s">
        <v>788</v>
      </c>
      <c r="D2" t="s">
        <v>3</v>
      </c>
      <c r="E2" t="s">
        <v>638</v>
      </c>
      <c r="F2" t="s">
        <v>3</v>
      </c>
      <c r="G2" t="s">
        <v>504</v>
      </c>
    </row>
    <row r="3" spans="1:7" x14ac:dyDescent="0.25">
      <c r="A3" t="s">
        <v>217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</row>
    <row r="4" spans="1:7" x14ac:dyDescent="0.25">
      <c r="A4" t="s">
        <v>218</v>
      </c>
      <c r="B4" t="s">
        <v>0</v>
      </c>
      <c r="C4" t="s">
        <v>798</v>
      </c>
      <c r="D4" t="s">
        <v>0</v>
      </c>
      <c r="E4" t="s">
        <v>650</v>
      </c>
      <c r="F4" t="s">
        <v>0</v>
      </c>
      <c r="G4" t="s">
        <v>521</v>
      </c>
    </row>
    <row r="5" spans="1:7" x14ac:dyDescent="0.25">
      <c r="A5" t="s">
        <v>651</v>
      </c>
      <c r="B5" t="s">
        <v>0</v>
      </c>
      <c r="C5" t="s">
        <v>799</v>
      </c>
      <c r="D5" t="s">
        <v>0</v>
      </c>
      <c r="E5" t="s">
        <v>652</v>
      </c>
      <c r="F5" t="s">
        <v>0</v>
      </c>
      <c r="G5" t="s">
        <v>523</v>
      </c>
    </row>
    <row r="6" spans="1:7" x14ac:dyDescent="0.25">
      <c r="A6" t="s">
        <v>653</v>
      </c>
      <c r="B6" t="s">
        <v>0</v>
      </c>
      <c r="C6" t="s">
        <v>4</v>
      </c>
      <c r="D6" t="s">
        <v>0</v>
      </c>
      <c r="E6" t="s">
        <v>654</v>
      </c>
      <c r="F6" t="s">
        <v>0</v>
      </c>
      <c r="G6" t="s">
        <v>4</v>
      </c>
    </row>
    <row r="7" spans="1:7" x14ac:dyDescent="0.25">
      <c r="A7" t="s">
        <v>800</v>
      </c>
      <c r="B7" t="s">
        <v>0</v>
      </c>
      <c r="C7" t="s">
        <v>801</v>
      </c>
      <c r="D7" t="s">
        <v>0</v>
      </c>
      <c r="E7" t="s">
        <v>656</v>
      </c>
      <c r="F7" t="s">
        <v>0</v>
      </c>
      <c r="G7" t="s">
        <v>525</v>
      </c>
    </row>
    <row r="8" spans="1:7" x14ac:dyDescent="0.25">
      <c r="A8" t="s">
        <v>230</v>
      </c>
      <c r="B8" t="s">
        <v>0</v>
      </c>
      <c r="C8" t="s">
        <v>802</v>
      </c>
      <c r="D8" t="s">
        <v>0</v>
      </c>
      <c r="E8" t="s">
        <v>657</v>
      </c>
      <c r="F8" t="s">
        <v>0</v>
      </c>
      <c r="G8" t="s">
        <v>519</v>
      </c>
    </row>
    <row r="9" spans="1:7" x14ac:dyDescent="0.25">
      <c r="A9" t="s">
        <v>231</v>
      </c>
      <c r="B9" t="s">
        <v>0</v>
      </c>
      <c r="C9" t="s">
        <v>803</v>
      </c>
      <c r="D9" t="s">
        <v>0</v>
      </c>
      <c r="E9" t="s">
        <v>658</v>
      </c>
      <c r="F9" t="s">
        <v>0</v>
      </c>
      <c r="G9" t="s">
        <v>526</v>
      </c>
    </row>
    <row r="10" spans="1:7" x14ac:dyDescent="0.25">
      <c r="A10" t="s">
        <v>659</v>
      </c>
      <c r="B10" t="s">
        <v>0</v>
      </c>
      <c r="C10" t="s">
        <v>804</v>
      </c>
      <c r="D10" t="s">
        <v>0</v>
      </c>
      <c r="E10" t="s">
        <v>660</v>
      </c>
      <c r="F10" t="s">
        <v>0</v>
      </c>
      <c r="G10" t="s">
        <v>528</v>
      </c>
    </row>
    <row r="11" spans="1:7" x14ac:dyDescent="0.25">
      <c r="A11" t="s">
        <v>239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x14ac:dyDescent="0.25">
      <c r="A12" t="s">
        <v>240</v>
      </c>
      <c r="B12" t="s">
        <v>0</v>
      </c>
      <c r="C12" t="s">
        <v>805</v>
      </c>
      <c r="D12" t="s">
        <v>0</v>
      </c>
      <c r="E12" t="s">
        <v>806</v>
      </c>
      <c r="F12" t="s">
        <v>0</v>
      </c>
      <c r="G12" t="s">
        <v>529</v>
      </c>
    </row>
    <row r="13" spans="1:7" x14ac:dyDescent="0.25">
      <c r="A13" t="s">
        <v>62</v>
      </c>
      <c r="B13" t="s">
        <v>0</v>
      </c>
      <c r="C13" t="s">
        <v>807</v>
      </c>
      <c r="D13" t="s">
        <v>0</v>
      </c>
      <c r="E13" t="s">
        <v>662</v>
      </c>
      <c r="F13" t="s">
        <v>0</v>
      </c>
      <c r="G13" t="s">
        <v>530</v>
      </c>
    </row>
    <row r="14" spans="1:7" x14ac:dyDescent="0.25">
      <c r="A14" t="s">
        <v>65</v>
      </c>
      <c r="B14" t="s">
        <v>0</v>
      </c>
      <c r="C14" t="s">
        <v>808</v>
      </c>
      <c r="D14" t="s">
        <v>0</v>
      </c>
      <c r="E14" t="s">
        <v>663</v>
      </c>
      <c r="F14" t="s">
        <v>0</v>
      </c>
      <c r="G14" t="s">
        <v>531</v>
      </c>
    </row>
    <row r="15" spans="1:7" x14ac:dyDescent="0.25">
      <c r="A15" t="s">
        <v>250</v>
      </c>
      <c r="B15" t="s">
        <v>0</v>
      </c>
      <c r="C15" t="s">
        <v>809</v>
      </c>
      <c r="D15" t="s">
        <v>0</v>
      </c>
      <c r="E15" t="s">
        <v>664</v>
      </c>
      <c r="F15" t="s">
        <v>0</v>
      </c>
      <c r="G15" t="s">
        <v>532</v>
      </c>
    </row>
    <row r="16" spans="1:7" x14ac:dyDescent="0.25">
      <c r="A16" t="s">
        <v>254</v>
      </c>
      <c r="B16" t="s">
        <v>0</v>
      </c>
      <c r="C16" t="s">
        <v>810</v>
      </c>
      <c r="D16" t="s">
        <v>0</v>
      </c>
      <c r="E16" t="s">
        <v>665</v>
      </c>
      <c r="F16" t="s">
        <v>0</v>
      </c>
      <c r="G16" t="s">
        <v>533</v>
      </c>
    </row>
    <row r="17" spans="1:7" x14ac:dyDescent="0.25">
      <c r="A17" t="s">
        <v>97</v>
      </c>
      <c r="B17" t="s">
        <v>0</v>
      </c>
      <c r="C17" t="s">
        <v>811</v>
      </c>
      <c r="D17" t="s">
        <v>0</v>
      </c>
      <c r="E17" t="s">
        <v>666</v>
      </c>
      <c r="F17" t="s">
        <v>0</v>
      </c>
      <c r="G17" t="s">
        <v>534</v>
      </c>
    </row>
    <row r="18" spans="1:7" x14ac:dyDescent="0.25">
      <c r="A18" t="s">
        <v>100</v>
      </c>
      <c r="B18" t="s">
        <v>0</v>
      </c>
      <c r="C18" t="s">
        <v>812</v>
      </c>
      <c r="D18" t="s">
        <v>0</v>
      </c>
      <c r="E18" t="s">
        <v>667</v>
      </c>
      <c r="F18" t="s">
        <v>0</v>
      </c>
      <c r="G18" t="s">
        <v>535</v>
      </c>
    </row>
    <row r="19" spans="1:7" x14ac:dyDescent="0.25">
      <c r="A19" t="s">
        <v>68</v>
      </c>
      <c r="B19" t="s">
        <v>0</v>
      </c>
      <c r="C19" t="s">
        <v>813</v>
      </c>
      <c r="D19" t="s">
        <v>0</v>
      </c>
      <c r="E19" t="s">
        <v>668</v>
      </c>
      <c r="F19" t="s">
        <v>0</v>
      </c>
      <c r="G19" t="s">
        <v>536</v>
      </c>
    </row>
    <row r="20" spans="1:7" x14ac:dyDescent="0.25">
      <c r="A20" t="s">
        <v>103</v>
      </c>
      <c r="B20" t="s">
        <v>0</v>
      </c>
      <c r="C20" t="s">
        <v>814</v>
      </c>
      <c r="D20" t="s">
        <v>0</v>
      </c>
      <c r="E20" t="s">
        <v>669</v>
      </c>
      <c r="F20" t="s">
        <v>0</v>
      </c>
      <c r="G20" t="s">
        <v>537</v>
      </c>
    </row>
    <row r="21" spans="1:7" x14ac:dyDescent="0.25">
      <c r="A21" t="s">
        <v>272</v>
      </c>
      <c r="B21" t="s">
        <v>0</v>
      </c>
      <c r="C21" t="s">
        <v>736</v>
      </c>
      <c r="D21" t="s">
        <v>0</v>
      </c>
      <c r="E21" t="s">
        <v>585</v>
      </c>
      <c r="F21" t="s">
        <v>0</v>
      </c>
      <c r="G21" t="s">
        <v>446</v>
      </c>
    </row>
    <row r="22" spans="1:7" x14ac:dyDescent="0.25">
      <c r="A22" t="s">
        <v>273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</row>
    <row r="23" spans="1:7" x14ac:dyDescent="0.25">
      <c r="A23" t="s">
        <v>274</v>
      </c>
      <c r="B23" t="s">
        <v>0</v>
      </c>
      <c r="C23" t="s">
        <v>815</v>
      </c>
      <c r="D23" t="s">
        <v>0</v>
      </c>
      <c r="E23" t="s">
        <v>670</v>
      </c>
      <c r="F23" t="s">
        <v>0</v>
      </c>
      <c r="G23" t="s">
        <v>449</v>
      </c>
    </row>
    <row r="24" spans="1:7" x14ac:dyDescent="0.25">
      <c r="A24" t="s">
        <v>671</v>
      </c>
      <c r="B24" t="s">
        <v>0</v>
      </c>
      <c r="C24" t="s">
        <v>816</v>
      </c>
      <c r="D24" t="s">
        <v>0</v>
      </c>
      <c r="E24" t="s">
        <v>672</v>
      </c>
      <c r="F24" t="s">
        <v>0</v>
      </c>
      <c r="G24" t="s">
        <v>4</v>
      </c>
    </row>
    <row r="25" spans="1:7" x14ac:dyDescent="0.25">
      <c r="A25" t="s">
        <v>277</v>
      </c>
      <c r="B25" t="s">
        <v>0</v>
      </c>
      <c r="C25" t="s">
        <v>817</v>
      </c>
      <c r="D25" t="s">
        <v>0</v>
      </c>
      <c r="E25" t="s">
        <v>673</v>
      </c>
      <c r="F25" t="s">
        <v>0</v>
      </c>
      <c r="G25" t="s">
        <v>538</v>
      </c>
    </row>
    <row r="26" spans="1:7" x14ac:dyDescent="0.25">
      <c r="A26" t="s">
        <v>457</v>
      </c>
      <c r="B26" t="s">
        <v>0</v>
      </c>
      <c r="C26" t="s">
        <v>818</v>
      </c>
      <c r="D26" t="s">
        <v>0</v>
      </c>
      <c r="E26" t="s">
        <v>674</v>
      </c>
      <c r="F26" t="s">
        <v>0</v>
      </c>
      <c r="G26" t="s">
        <v>539</v>
      </c>
    </row>
    <row r="27" spans="1:7" x14ac:dyDescent="0.25">
      <c r="A27" t="s">
        <v>819</v>
      </c>
      <c r="B27" t="s">
        <v>0</v>
      </c>
      <c r="C27" t="s">
        <v>820</v>
      </c>
      <c r="D27" t="s">
        <v>0</v>
      </c>
      <c r="E27" t="s">
        <v>675</v>
      </c>
      <c r="F27" t="s">
        <v>0</v>
      </c>
      <c r="G27" t="s">
        <v>4</v>
      </c>
    </row>
    <row r="28" spans="1:7" x14ac:dyDescent="0.25">
      <c r="A28" t="s">
        <v>281</v>
      </c>
      <c r="B28" t="s">
        <v>0</v>
      </c>
      <c r="C28" t="s">
        <v>821</v>
      </c>
      <c r="D28" t="s">
        <v>0</v>
      </c>
      <c r="E28" t="s">
        <v>676</v>
      </c>
      <c r="F28" t="s">
        <v>0</v>
      </c>
      <c r="G28" t="s">
        <v>540</v>
      </c>
    </row>
    <row r="29" spans="1:7" x14ac:dyDescent="0.25">
      <c r="A29" t="s">
        <v>287</v>
      </c>
      <c r="B29" t="s">
        <v>0</v>
      </c>
      <c r="C29" t="s">
        <v>737</v>
      </c>
      <c r="D29" t="s">
        <v>0</v>
      </c>
      <c r="E29" t="s">
        <v>586</v>
      </c>
      <c r="F29" t="s">
        <v>0</v>
      </c>
      <c r="G29" t="s">
        <v>447</v>
      </c>
    </row>
    <row r="30" spans="1:7" x14ac:dyDescent="0.25">
      <c r="A30" t="s">
        <v>288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  <row r="31" spans="1:7" x14ac:dyDescent="0.25">
      <c r="A31" t="s">
        <v>289</v>
      </c>
      <c r="B31" t="s">
        <v>0</v>
      </c>
      <c r="C31" t="s">
        <v>795</v>
      </c>
      <c r="D31" t="s">
        <v>0</v>
      </c>
      <c r="E31" t="s">
        <v>647</v>
      </c>
      <c r="F31" t="s">
        <v>0</v>
      </c>
      <c r="G31" t="s">
        <v>517</v>
      </c>
    </row>
    <row r="32" spans="1:7" x14ac:dyDescent="0.25">
      <c r="A32" t="s">
        <v>291</v>
      </c>
      <c r="B32" t="s">
        <v>0</v>
      </c>
      <c r="C32" t="s">
        <v>797</v>
      </c>
      <c r="D32" t="s">
        <v>0</v>
      </c>
      <c r="E32" t="s">
        <v>649</v>
      </c>
      <c r="F32" t="s">
        <v>0</v>
      </c>
      <c r="G32" t="s">
        <v>520</v>
      </c>
    </row>
    <row r="33" spans="1:7" x14ac:dyDescent="0.25">
      <c r="A33" t="s">
        <v>292</v>
      </c>
      <c r="B33" t="s">
        <v>0</v>
      </c>
      <c r="C33" t="s">
        <v>796</v>
      </c>
      <c r="D33" t="s">
        <v>0</v>
      </c>
      <c r="E33" t="s">
        <v>648</v>
      </c>
      <c r="F33" t="s">
        <v>0</v>
      </c>
      <c r="G33" t="s">
        <v>518</v>
      </c>
    </row>
    <row r="34" spans="1:7" x14ac:dyDescent="0.25">
      <c r="A34" t="s">
        <v>541</v>
      </c>
      <c r="B34" t="s">
        <v>0</v>
      </c>
      <c r="C34" t="s">
        <v>4</v>
      </c>
      <c r="D34" t="s">
        <v>0</v>
      </c>
      <c r="E34" t="s">
        <v>4</v>
      </c>
      <c r="F34" t="s">
        <v>0</v>
      </c>
      <c r="G34" t="s">
        <v>542</v>
      </c>
    </row>
    <row r="35" spans="1:7" x14ac:dyDescent="0.25">
      <c r="A35" t="s">
        <v>543</v>
      </c>
      <c r="B35" t="s">
        <v>0</v>
      </c>
      <c r="C35" t="s">
        <v>4</v>
      </c>
      <c r="D35" t="s">
        <v>0</v>
      </c>
      <c r="E35" t="s">
        <v>677</v>
      </c>
      <c r="F35" t="s">
        <v>0</v>
      </c>
      <c r="G35" t="s">
        <v>544</v>
      </c>
    </row>
    <row r="36" spans="1:7" x14ac:dyDescent="0.25">
      <c r="A36" t="s">
        <v>299</v>
      </c>
      <c r="B36" t="s">
        <v>0</v>
      </c>
      <c r="C36" t="s">
        <v>385</v>
      </c>
      <c r="D36" t="s">
        <v>0</v>
      </c>
      <c r="E36" t="s">
        <v>678</v>
      </c>
      <c r="F36" t="s">
        <v>0</v>
      </c>
      <c r="G36" t="s">
        <v>545</v>
      </c>
    </row>
    <row r="37" spans="1:7" x14ac:dyDescent="0.25">
      <c r="A37" t="s">
        <v>822</v>
      </c>
      <c r="B37" t="s">
        <v>0</v>
      </c>
      <c r="C37" t="s">
        <v>738</v>
      </c>
      <c r="D37" t="s">
        <v>0</v>
      </c>
      <c r="E37" t="s">
        <v>587</v>
      </c>
      <c r="F37" t="s">
        <v>0</v>
      </c>
      <c r="G37" t="s">
        <v>448</v>
      </c>
    </row>
    <row r="38" spans="1:7" x14ac:dyDescent="0.25">
      <c r="A38" t="s">
        <v>304</v>
      </c>
      <c r="B38" t="s">
        <v>0</v>
      </c>
      <c r="C38" t="s">
        <v>823</v>
      </c>
      <c r="D38" t="s">
        <v>0</v>
      </c>
      <c r="E38" t="s">
        <v>679</v>
      </c>
      <c r="F38" t="s">
        <v>0</v>
      </c>
      <c r="G38" t="s">
        <v>547</v>
      </c>
    </row>
    <row r="39" spans="1:7" x14ac:dyDescent="0.25">
      <c r="A39" t="s">
        <v>824</v>
      </c>
      <c r="B39" t="s">
        <v>0</v>
      </c>
      <c r="C39" t="s">
        <v>825</v>
      </c>
      <c r="D39" t="s">
        <v>0</v>
      </c>
      <c r="E39" t="s">
        <v>680</v>
      </c>
      <c r="F39" t="s">
        <v>0</v>
      </c>
      <c r="G39" t="s">
        <v>550</v>
      </c>
    </row>
    <row r="40" spans="1:7" x14ac:dyDescent="0.25">
      <c r="A40" t="s">
        <v>312</v>
      </c>
      <c r="B40" t="s">
        <v>0</v>
      </c>
      <c r="C40" t="s">
        <v>596</v>
      </c>
      <c r="D40" t="s">
        <v>0</v>
      </c>
      <c r="E40" t="s">
        <v>456</v>
      </c>
      <c r="F40" t="s">
        <v>0</v>
      </c>
      <c r="G40" t="s">
        <v>57</v>
      </c>
    </row>
    <row r="41" spans="1:7" x14ac:dyDescent="0.25">
      <c r="A41" t="s">
        <v>315</v>
      </c>
      <c r="B41" t="s">
        <v>3</v>
      </c>
      <c r="C41" t="s">
        <v>746</v>
      </c>
      <c r="D41" t="s">
        <v>3</v>
      </c>
      <c r="E41" t="s">
        <v>596</v>
      </c>
      <c r="F41" t="s">
        <v>3</v>
      </c>
      <c r="G41" t="s">
        <v>456</v>
      </c>
    </row>
    <row r="42" spans="1:7" x14ac:dyDescent="0.25">
      <c r="A42" t="s">
        <v>316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</row>
    <row r="43" spans="1:7" x14ac:dyDescent="0.25">
      <c r="A43" t="s">
        <v>317</v>
      </c>
      <c r="B43" t="s">
        <v>3</v>
      </c>
      <c r="C43" t="s">
        <v>826</v>
      </c>
      <c r="D43" t="s">
        <v>3</v>
      </c>
      <c r="E43" t="s">
        <v>681</v>
      </c>
      <c r="F43" t="s">
        <v>3</v>
      </c>
      <c r="G43" t="s">
        <v>551</v>
      </c>
    </row>
    <row r="44" spans="1:7" x14ac:dyDescent="0.25">
      <c r="A44" t="s">
        <v>321</v>
      </c>
      <c r="B44" t="s">
        <v>3</v>
      </c>
      <c r="C44" t="s">
        <v>827</v>
      </c>
      <c r="D44" t="s">
        <v>3</v>
      </c>
      <c r="E44" t="s">
        <v>682</v>
      </c>
      <c r="F44" t="s">
        <v>3</v>
      </c>
      <c r="G44" t="s">
        <v>552</v>
      </c>
    </row>
    <row r="45" spans="1:7" x14ac:dyDescent="0.25">
      <c r="A45" t="s">
        <v>828</v>
      </c>
      <c r="B45" t="s">
        <v>3</v>
      </c>
      <c r="C45" t="s">
        <v>829</v>
      </c>
      <c r="D45" t="s">
        <v>3</v>
      </c>
      <c r="E45" t="s">
        <v>4</v>
      </c>
      <c r="F45" t="s">
        <v>3</v>
      </c>
      <c r="G45" t="s">
        <v>4</v>
      </c>
    </row>
  </sheetData>
  <pageMargins left="0.7" right="0.7" top="0.75" bottom="0.75" header="0.3" footer="0.3"/>
  <ignoredErrors>
    <ignoredError sqref="A1:G4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9"/>
  <dimension ref="A1:G4"/>
  <sheetViews>
    <sheetView workbookViewId="0">
      <selection activeCell="D14" sqref="D14"/>
    </sheetView>
  </sheetViews>
  <sheetFormatPr defaultRowHeight="15.75" x14ac:dyDescent="0.25"/>
  <cols>
    <col min="1" max="1" width="24.875" customWidth="1"/>
    <col min="2" max="2" width="10.875" customWidth="1"/>
    <col min="3" max="3" width="11.875" customWidth="1"/>
    <col min="4" max="4" width="10.875" customWidth="1"/>
    <col min="5" max="5" width="11.875" customWidth="1"/>
    <col min="6" max="6" width="10.875" customWidth="1"/>
    <col min="7" max="7" width="11.875" customWidth="1"/>
  </cols>
  <sheetData>
    <row r="1" spans="1:7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740</v>
      </c>
      <c r="D2" t="s">
        <v>3</v>
      </c>
      <c r="E2" t="s">
        <v>588</v>
      </c>
      <c r="F2" t="s">
        <v>3</v>
      </c>
      <c r="G2" t="s">
        <v>450</v>
      </c>
    </row>
    <row r="3" spans="1:7" x14ac:dyDescent="0.25">
      <c r="A3" t="s">
        <v>35</v>
      </c>
      <c r="B3" t="s">
        <v>0</v>
      </c>
      <c r="C3" t="s">
        <v>741</v>
      </c>
      <c r="D3" t="s">
        <v>0</v>
      </c>
      <c r="E3" t="s">
        <v>589</v>
      </c>
      <c r="F3" t="s">
        <v>0</v>
      </c>
      <c r="G3" t="s">
        <v>451</v>
      </c>
    </row>
    <row r="4" spans="1:7" x14ac:dyDescent="0.25">
      <c r="A4" t="s">
        <v>39</v>
      </c>
      <c r="B4" t="s">
        <v>3</v>
      </c>
      <c r="C4" t="s">
        <v>742</v>
      </c>
      <c r="D4" t="s">
        <v>3</v>
      </c>
      <c r="E4" t="s">
        <v>590</v>
      </c>
      <c r="F4" t="s">
        <v>3</v>
      </c>
      <c r="G4" t="s">
        <v>452</v>
      </c>
    </row>
  </sheetData>
  <pageMargins left="0.7" right="0.7" top="0.75" bottom="0.75" header="0.3" footer="0.3"/>
  <ignoredErrors>
    <ignoredError sqref="A1:G4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0"/>
  <dimension ref="A1:G4"/>
  <sheetViews>
    <sheetView workbookViewId="0"/>
  </sheetViews>
  <sheetFormatPr defaultRowHeight="15.75" x14ac:dyDescent="0.25"/>
  <cols>
    <col min="1" max="1" width="21.875" customWidth="1"/>
    <col min="2" max="7" width="10.875" customWidth="1"/>
  </cols>
  <sheetData>
    <row r="1" spans="1:7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6</v>
      </c>
      <c r="B2" t="s">
        <v>3</v>
      </c>
      <c r="C2" t="s">
        <v>743</v>
      </c>
      <c r="D2" t="s">
        <v>3</v>
      </c>
      <c r="E2" t="s">
        <v>591</v>
      </c>
      <c r="F2" t="s">
        <v>3</v>
      </c>
      <c r="G2" t="s">
        <v>453</v>
      </c>
    </row>
    <row r="3" spans="1:7" x14ac:dyDescent="0.25">
      <c r="A3" t="s">
        <v>35</v>
      </c>
      <c r="B3" t="s">
        <v>0</v>
      </c>
      <c r="C3" t="s">
        <v>744</v>
      </c>
      <c r="D3" t="s">
        <v>0</v>
      </c>
      <c r="E3" t="s">
        <v>592</v>
      </c>
      <c r="F3" t="s">
        <v>0</v>
      </c>
      <c r="G3" t="s">
        <v>454</v>
      </c>
    </row>
    <row r="4" spans="1:7" x14ac:dyDescent="0.25">
      <c r="A4" t="s">
        <v>50</v>
      </c>
      <c r="B4" t="s">
        <v>3</v>
      </c>
      <c r="C4" t="s">
        <v>745</v>
      </c>
      <c r="D4" t="s">
        <v>3</v>
      </c>
      <c r="E4" t="s">
        <v>593</v>
      </c>
      <c r="F4" t="s">
        <v>3</v>
      </c>
      <c r="G4" t="s">
        <v>455</v>
      </c>
    </row>
  </sheetData>
  <pageMargins left="0.7" right="0.7" top="0.75" bottom="0.75" header="0.3" footer="0.3"/>
  <ignoredErrors>
    <ignoredError sqref="A1:G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5"/>
  <dimension ref="A1:E8"/>
  <sheetViews>
    <sheetView workbookViewId="0"/>
  </sheetViews>
  <sheetFormatPr defaultRowHeight="15.75" x14ac:dyDescent="0.25"/>
  <cols>
    <col min="1" max="1" width="49.875" customWidth="1"/>
    <col min="2" max="2" width="10.875" customWidth="1"/>
    <col min="3" max="3" width="13.875" customWidth="1"/>
    <col min="4" max="4" width="10.875" customWidth="1"/>
    <col min="5" max="5" width="13.875" customWidth="1"/>
  </cols>
  <sheetData>
    <row r="1" spans="1:5" x14ac:dyDescent="0.25">
      <c r="A1" t="s">
        <v>326</v>
      </c>
      <c r="B1" t="s">
        <v>3</v>
      </c>
      <c r="C1" t="s">
        <v>830</v>
      </c>
      <c r="D1" t="s">
        <v>3</v>
      </c>
      <c r="E1" t="s">
        <v>683</v>
      </c>
    </row>
    <row r="2" spans="1:5" x14ac:dyDescent="0.25">
      <c r="A2" t="s">
        <v>329</v>
      </c>
      <c r="B2" t="s">
        <v>0</v>
      </c>
      <c r="C2" t="s">
        <v>831</v>
      </c>
      <c r="D2" t="s">
        <v>0</v>
      </c>
      <c r="E2" t="s">
        <v>684</v>
      </c>
    </row>
    <row r="3" spans="1:5" x14ac:dyDescent="0.25">
      <c r="A3" t="s">
        <v>332</v>
      </c>
      <c r="B3" t="s">
        <v>0</v>
      </c>
      <c r="C3" t="s">
        <v>832</v>
      </c>
      <c r="D3" t="s">
        <v>0</v>
      </c>
      <c r="E3" t="s">
        <v>685</v>
      </c>
    </row>
    <row r="4" spans="1:5" x14ac:dyDescent="0.25">
      <c r="A4" t="s">
        <v>335</v>
      </c>
      <c r="B4" t="s">
        <v>0</v>
      </c>
      <c r="C4" t="s">
        <v>833</v>
      </c>
      <c r="D4" t="s">
        <v>0</v>
      </c>
      <c r="E4" t="s">
        <v>686</v>
      </c>
    </row>
    <row r="5" spans="1:5" x14ac:dyDescent="0.25">
      <c r="A5" t="s">
        <v>834</v>
      </c>
      <c r="B5" t="s">
        <v>0</v>
      </c>
      <c r="C5" t="s">
        <v>835</v>
      </c>
      <c r="D5" t="s">
        <v>0</v>
      </c>
      <c r="E5" t="s">
        <v>687</v>
      </c>
    </row>
    <row r="6" spans="1:5" x14ac:dyDescent="0.25">
      <c r="A6" t="s">
        <v>0</v>
      </c>
      <c r="B6" t="s">
        <v>0</v>
      </c>
      <c r="C6" t="s">
        <v>836</v>
      </c>
      <c r="D6" t="s">
        <v>0</v>
      </c>
      <c r="E6" t="s">
        <v>688</v>
      </c>
    </row>
    <row r="7" spans="1:5" x14ac:dyDescent="0.25">
      <c r="A7" t="s">
        <v>343</v>
      </c>
      <c r="B7" t="s">
        <v>0</v>
      </c>
      <c r="C7" t="s">
        <v>837</v>
      </c>
      <c r="D7" t="s">
        <v>0</v>
      </c>
      <c r="E7" t="s">
        <v>689</v>
      </c>
    </row>
    <row r="8" spans="1:5" x14ac:dyDescent="0.25">
      <c r="A8" t="s">
        <v>77</v>
      </c>
      <c r="B8" t="s">
        <v>3</v>
      </c>
      <c r="C8" t="s">
        <v>754</v>
      </c>
      <c r="D8" t="s">
        <v>3</v>
      </c>
      <c r="E8" t="s">
        <v>603</v>
      </c>
    </row>
  </sheetData>
  <pageMargins left="0.7" right="0.7" top="0.75" bottom="0.75" header="0.3" footer="0.3"/>
  <ignoredErrors>
    <ignoredError sqref="A1:E8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6"/>
  <dimension ref="A1:F7"/>
  <sheetViews>
    <sheetView workbookViewId="0"/>
  </sheetViews>
  <sheetFormatPr defaultRowHeight="15.75" x14ac:dyDescent="0.25"/>
  <cols>
    <col min="1" max="1" width="39.875" customWidth="1"/>
    <col min="2" max="6" width="10.875" customWidth="1"/>
  </cols>
  <sheetData>
    <row r="1" spans="1:6" x14ac:dyDescent="0.25">
      <c r="A1" t="s">
        <v>838</v>
      </c>
      <c r="B1" t="s">
        <v>0</v>
      </c>
      <c r="C1" t="s">
        <v>3</v>
      </c>
      <c r="D1" t="s">
        <v>839</v>
      </c>
      <c r="E1" t="s">
        <v>3</v>
      </c>
      <c r="F1" t="s">
        <v>690</v>
      </c>
    </row>
    <row r="2" spans="1:6" x14ac:dyDescent="0.25">
      <c r="A2" t="s">
        <v>346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25">
      <c r="A3" t="s">
        <v>347</v>
      </c>
      <c r="B3" t="s">
        <v>0</v>
      </c>
      <c r="C3" t="s">
        <v>0</v>
      </c>
      <c r="D3" t="s">
        <v>840</v>
      </c>
      <c r="E3" t="s">
        <v>0</v>
      </c>
      <c r="F3" t="s">
        <v>1</v>
      </c>
    </row>
    <row r="4" spans="1:6" x14ac:dyDescent="0.25">
      <c r="A4" t="s">
        <v>348</v>
      </c>
      <c r="B4" t="s">
        <v>0</v>
      </c>
      <c r="C4" t="s">
        <v>0</v>
      </c>
      <c r="D4" t="s">
        <v>841</v>
      </c>
      <c r="E4" t="s">
        <v>0</v>
      </c>
      <c r="F4" t="s">
        <v>4</v>
      </c>
    </row>
    <row r="5" spans="1:6" x14ac:dyDescent="0.25">
      <c r="A5" t="s">
        <v>349</v>
      </c>
      <c r="B5" t="s">
        <v>0</v>
      </c>
      <c r="C5" t="s">
        <v>0</v>
      </c>
      <c r="D5" t="s">
        <v>842</v>
      </c>
      <c r="E5" t="s">
        <v>0</v>
      </c>
      <c r="F5" t="s">
        <v>691</v>
      </c>
    </row>
    <row r="6" spans="1:6" x14ac:dyDescent="0.25">
      <c r="A6" t="s">
        <v>350</v>
      </c>
      <c r="B6" t="s">
        <v>0</v>
      </c>
      <c r="C6" t="s">
        <v>0</v>
      </c>
      <c r="D6" t="s">
        <v>843</v>
      </c>
      <c r="E6" t="s">
        <v>0</v>
      </c>
      <c r="F6" t="s">
        <v>692</v>
      </c>
    </row>
    <row r="7" spans="1:6" x14ac:dyDescent="0.25">
      <c r="A7" t="s">
        <v>351</v>
      </c>
      <c r="B7" t="s">
        <v>0</v>
      </c>
      <c r="C7" t="s">
        <v>3</v>
      </c>
      <c r="D7" t="s">
        <v>844</v>
      </c>
      <c r="E7" t="s">
        <v>3</v>
      </c>
      <c r="F7" t="s">
        <v>693</v>
      </c>
    </row>
  </sheetData>
  <pageMargins left="0.7" right="0.7" top="0.75" bottom="0.75" header="0.3" footer="0.3"/>
  <ignoredErrors>
    <ignoredError sqref="A1:F7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7"/>
  <dimension ref="A1:F9"/>
  <sheetViews>
    <sheetView workbookViewId="0"/>
  </sheetViews>
  <sheetFormatPr defaultRowHeight="15.75" x14ac:dyDescent="0.25"/>
  <cols>
    <col min="1" max="1" width="43.875" customWidth="1"/>
    <col min="2" max="2" width="60.875" customWidth="1"/>
    <col min="3" max="6" width="10.875" customWidth="1"/>
  </cols>
  <sheetData>
    <row r="1" spans="1:6" x14ac:dyDescent="0.25">
      <c r="A1" t="s">
        <v>80</v>
      </c>
      <c r="B1" t="s">
        <v>80</v>
      </c>
      <c r="C1" t="s">
        <v>3</v>
      </c>
      <c r="D1" t="s">
        <v>755</v>
      </c>
      <c r="E1" t="s">
        <v>3</v>
      </c>
      <c r="F1" t="s">
        <v>604</v>
      </c>
    </row>
    <row r="2" spans="1:6" x14ac:dyDescent="0.25">
      <c r="A2" t="s">
        <v>352</v>
      </c>
      <c r="B2" t="s">
        <v>77</v>
      </c>
      <c r="C2" t="s">
        <v>0</v>
      </c>
      <c r="D2" t="s">
        <v>845</v>
      </c>
      <c r="E2" t="s">
        <v>0</v>
      </c>
      <c r="F2" t="s">
        <v>4</v>
      </c>
    </row>
    <row r="3" spans="1:6" x14ac:dyDescent="0.25">
      <c r="A3" t="s">
        <v>353</v>
      </c>
      <c r="B3" t="s">
        <v>0</v>
      </c>
      <c r="C3" t="s">
        <v>3</v>
      </c>
      <c r="D3" t="s">
        <v>846</v>
      </c>
      <c r="E3" t="s">
        <v>3</v>
      </c>
      <c r="F3" t="s">
        <v>604</v>
      </c>
    </row>
    <row r="4" spans="1:6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</row>
    <row r="5" spans="1:6" x14ac:dyDescent="0.25">
      <c r="A5" t="s">
        <v>354</v>
      </c>
      <c r="B5" t="s">
        <v>105</v>
      </c>
      <c r="C5" t="s">
        <v>3</v>
      </c>
      <c r="D5" t="s">
        <v>847</v>
      </c>
      <c r="E5" t="s">
        <v>3</v>
      </c>
      <c r="F5" t="s">
        <v>613</v>
      </c>
    </row>
    <row r="6" spans="1:6" x14ac:dyDescent="0.25">
      <c r="A6" t="s">
        <v>355</v>
      </c>
      <c r="B6" t="s">
        <v>105</v>
      </c>
      <c r="C6" t="s">
        <v>0</v>
      </c>
      <c r="D6" t="s">
        <v>594</v>
      </c>
      <c r="E6" t="s">
        <v>0</v>
      </c>
      <c r="F6" t="s">
        <v>4</v>
      </c>
    </row>
    <row r="7" spans="1:6" x14ac:dyDescent="0.25">
      <c r="A7" t="s">
        <v>356</v>
      </c>
      <c r="B7" t="s">
        <v>116</v>
      </c>
      <c r="C7" t="s">
        <v>0</v>
      </c>
      <c r="D7" t="s">
        <v>848</v>
      </c>
      <c r="E7" t="s">
        <v>0</v>
      </c>
      <c r="F7" t="s">
        <v>617</v>
      </c>
    </row>
    <row r="8" spans="1:6" x14ac:dyDescent="0.25">
      <c r="A8" t="s">
        <v>357</v>
      </c>
      <c r="B8" t="s">
        <v>116</v>
      </c>
      <c r="C8" t="s">
        <v>0</v>
      </c>
      <c r="D8" t="s">
        <v>849</v>
      </c>
      <c r="E8" t="s">
        <v>0</v>
      </c>
      <c r="F8" t="s">
        <v>4</v>
      </c>
    </row>
    <row r="9" spans="1:6" x14ac:dyDescent="0.25">
      <c r="A9" t="s">
        <v>358</v>
      </c>
      <c r="B9" t="s">
        <v>0</v>
      </c>
      <c r="C9" t="s">
        <v>3</v>
      </c>
      <c r="D9" t="s">
        <v>850</v>
      </c>
      <c r="E9" t="s">
        <v>3</v>
      </c>
      <c r="F9" t="s">
        <v>694</v>
      </c>
    </row>
  </sheetData>
  <pageMargins left="0.7" right="0.7" top="0.75" bottom="0.75" header="0.3" footer="0.3"/>
  <ignoredErrors>
    <ignoredError sqref="A1:F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8"/>
  <dimension ref="A1:D3"/>
  <sheetViews>
    <sheetView workbookViewId="0"/>
  </sheetViews>
  <sheetFormatPr defaultRowHeight="15.75" x14ac:dyDescent="0.25"/>
  <cols>
    <col min="1" max="1" width="18.875" customWidth="1"/>
    <col min="2" max="2" width="50.875" customWidth="1"/>
    <col min="3" max="3" width="36.875" customWidth="1"/>
    <col min="4" max="4" width="10.875" customWidth="1"/>
  </cols>
  <sheetData>
    <row r="1" spans="1:4" x14ac:dyDescent="0.25">
      <c r="A1" t="s">
        <v>0</v>
      </c>
      <c r="B1" t="s">
        <v>695</v>
      </c>
      <c r="C1" t="s">
        <v>696</v>
      </c>
      <c r="D1" t="s">
        <v>0</v>
      </c>
    </row>
    <row r="2" spans="1:4" x14ac:dyDescent="0.25">
      <c r="A2" t="s">
        <v>697</v>
      </c>
      <c r="B2" t="s">
        <v>851</v>
      </c>
      <c r="C2" t="s">
        <v>852</v>
      </c>
      <c r="D2" t="s">
        <v>11</v>
      </c>
    </row>
    <row r="3" spans="1:4" x14ac:dyDescent="0.25">
      <c r="A3" t="s">
        <v>853</v>
      </c>
      <c r="B3" t="s">
        <v>854</v>
      </c>
      <c r="C3" t="s">
        <v>855</v>
      </c>
      <c r="D3" t="s">
        <v>11</v>
      </c>
    </row>
  </sheetData>
  <pageMargins left="0.7" right="0.7" top="0.75" bottom="0.75" header="0.3" footer="0.3"/>
  <ignoredErrors>
    <ignoredError sqref="A1:D3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9"/>
  <dimension ref="A1:E6"/>
  <sheetViews>
    <sheetView workbookViewId="0"/>
  </sheetViews>
  <sheetFormatPr defaultRowHeight="15.75" x14ac:dyDescent="0.25"/>
  <cols>
    <col min="1" max="1" width="60.875" customWidth="1"/>
    <col min="2" max="5" width="10.875" customWidth="1"/>
  </cols>
  <sheetData>
    <row r="1" spans="1:5" x14ac:dyDescent="0.25">
      <c r="A1" t="s">
        <v>359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t="s">
        <v>360</v>
      </c>
      <c r="B2" t="s">
        <v>3</v>
      </c>
      <c r="C2" t="s">
        <v>856</v>
      </c>
      <c r="D2" t="s">
        <v>3</v>
      </c>
      <c r="E2" t="s">
        <v>698</v>
      </c>
    </row>
    <row r="3" spans="1:5" x14ac:dyDescent="0.25">
      <c r="A3" t="s">
        <v>361</v>
      </c>
      <c r="B3" t="s">
        <v>0</v>
      </c>
      <c r="C3" t="s">
        <v>857</v>
      </c>
      <c r="D3" t="s">
        <v>0</v>
      </c>
      <c r="E3" t="s">
        <v>4</v>
      </c>
    </row>
    <row r="4" spans="1:5" x14ac:dyDescent="0.25">
      <c r="A4" t="s">
        <v>362</v>
      </c>
      <c r="B4" t="s">
        <v>0</v>
      </c>
      <c r="C4" t="s">
        <v>267</v>
      </c>
      <c r="D4" t="s">
        <v>0</v>
      </c>
      <c r="E4" t="s">
        <v>1</v>
      </c>
    </row>
    <row r="5" spans="1:5" x14ac:dyDescent="0.25">
      <c r="A5" t="s">
        <v>363</v>
      </c>
      <c r="B5" t="s">
        <v>0</v>
      </c>
      <c r="C5" t="s">
        <v>858</v>
      </c>
      <c r="D5" t="s">
        <v>0</v>
      </c>
      <c r="E5" t="s">
        <v>699</v>
      </c>
    </row>
    <row r="6" spans="1:5" x14ac:dyDescent="0.25">
      <c r="A6" t="s">
        <v>364</v>
      </c>
      <c r="B6" t="s">
        <v>0</v>
      </c>
      <c r="C6" t="s">
        <v>859</v>
      </c>
      <c r="D6" t="s">
        <v>0</v>
      </c>
      <c r="E6" t="s">
        <v>4</v>
      </c>
    </row>
  </sheetData>
  <pageMargins left="0.7" right="0.7" top="0.75" bottom="0.75" header="0.3" footer="0.3"/>
  <ignoredErrors>
    <ignoredError sqref="A1:E6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/>
  <dimension ref="A1:F9"/>
  <sheetViews>
    <sheetView workbookViewId="0"/>
  </sheetViews>
  <sheetFormatPr defaultRowHeight="15.75" x14ac:dyDescent="0.25"/>
  <cols>
    <col min="1" max="1" width="36.875" customWidth="1"/>
    <col min="2" max="6" width="10.875" customWidth="1"/>
  </cols>
  <sheetData>
    <row r="1" spans="1:6" x14ac:dyDescent="0.25">
      <c r="A1" t="s">
        <v>365</v>
      </c>
      <c r="B1" t="s">
        <v>0</v>
      </c>
      <c r="C1" t="s">
        <v>3</v>
      </c>
      <c r="D1" t="s">
        <v>860</v>
      </c>
      <c r="E1" t="s">
        <v>3</v>
      </c>
      <c r="F1" t="s">
        <v>861</v>
      </c>
    </row>
    <row r="2" spans="1:6" x14ac:dyDescent="0.25">
      <c r="A2" t="s">
        <v>366</v>
      </c>
      <c r="B2" t="s">
        <v>0</v>
      </c>
      <c r="C2" t="s">
        <v>0</v>
      </c>
      <c r="D2" t="s">
        <v>860</v>
      </c>
      <c r="E2" t="s">
        <v>0</v>
      </c>
      <c r="F2" t="s">
        <v>862</v>
      </c>
    </row>
    <row r="3" spans="1:6" x14ac:dyDescent="0.25">
      <c r="A3" t="s">
        <v>560</v>
      </c>
      <c r="B3" t="s">
        <v>0</v>
      </c>
      <c r="C3" t="s">
        <v>0</v>
      </c>
      <c r="D3" t="s">
        <v>860</v>
      </c>
      <c r="E3" t="s">
        <v>0</v>
      </c>
      <c r="F3" t="s">
        <v>863</v>
      </c>
    </row>
    <row r="4" spans="1:6" x14ac:dyDescent="0.25">
      <c r="A4" t="s">
        <v>700</v>
      </c>
      <c r="B4" t="s">
        <v>0</v>
      </c>
      <c r="C4" t="s">
        <v>0</v>
      </c>
      <c r="D4" t="s">
        <v>860</v>
      </c>
      <c r="E4" t="s">
        <v>0</v>
      </c>
      <c r="F4" t="s">
        <v>864</v>
      </c>
    </row>
    <row r="5" spans="1:6" x14ac:dyDescent="0.25">
      <c r="A5" t="s">
        <v>865</v>
      </c>
      <c r="B5" t="s">
        <v>0</v>
      </c>
      <c r="C5" t="s">
        <v>0</v>
      </c>
      <c r="D5" t="s">
        <v>860</v>
      </c>
      <c r="E5" t="s">
        <v>0</v>
      </c>
      <c r="F5" t="s">
        <v>866</v>
      </c>
    </row>
    <row r="6" spans="1:6" x14ac:dyDescent="0.25">
      <c r="A6" t="s">
        <v>367</v>
      </c>
      <c r="B6" t="s">
        <v>0</v>
      </c>
      <c r="C6" t="s">
        <v>0</v>
      </c>
      <c r="D6" t="s">
        <v>867</v>
      </c>
      <c r="E6" t="s">
        <v>0</v>
      </c>
      <c r="F6" t="s">
        <v>868</v>
      </c>
    </row>
    <row r="7" spans="1:6" x14ac:dyDescent="0.25">
      <c r="A7" t="s">
        <v>368</v>
      </c>
      <c r="B7" t="s">
        <v>0</v>
      </c>
      <c r="C7" t="s">
        <v>3</v>
      </c>
      <c r="D7" t="s">
        <v>869</v>
      </c>
      <c r="E7" t="s">
        <v>3</v>
      </c>
      <c r="F7" t="s">
        <v>870</v>
      </c>
    </row>
    <row r="8" spans="1:6" x14ac:dyDescent="0.25">
      <c r="A8" t="s">
        <v>369</v>
      </c>
      <c r="B8" t="s">
        <v>0</v>
      </c>
      <c r="C8" t="s">
        <v>0</v>
      </c>
      <c r="D8" t="s">
        <v>871</v>
      </c>
      <c r="E8" t="s">
        <v>0</v>
      </c>
      <c r="F8" t="s">
        <v>872</v>
      </c>
    </row>
    <row r="9" spans="1:6" x14ac:dyDescent="0.25">
      <c r="A9" t="s">
        <v>370</v>
      </c>
      <c r="B9" t="s">
        <v>0</v>
      </c>
      <c r="C9" t="s">
        <v>3</v>
      </c>
      <c r="D9" t="s">
        <v>873</v>
      </c>
      <c r="E9" t="s">
        <v>3</v>
      </c>
      <c r="F9" t="s">
        <v>874</v>
      </c>
    </row>
  </sheetData>
  <pageMargins left="0.7" right="0.7" top="0.75" bottom="0.75" header="0.3" footer="0.3"/>
  <ignoredErrors>
    <ignoredError sqref="A1:F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1"/>
  <dimension ref="A1:C7"/>
  <sheetViews>
    <sheetView workbookViewId="0"/>
  </sheetViews>
  <sheetFormatPr defaultRowHeight="15.75" x14ac:dyDescent="0.25"/>
  <cols>
    <col min="1" max="1" width="40.875" customWidth="1"/>
    <col min="2" max="3" width="10.875" customWidth="1"/>
  </cols>
  <sheetData>
    <row r="1" spans="1:3" x14ac:dyDescent="0.25">
      <c r="A1" t="s">
        <v>365</v>
      </c>
      <c r="B1" t="s">
        <v>3</v>
      </c>
      <c r="C1" t="s">
        <v>875</v>
      </c>
    </row>
    <row r="2" spans="1:3" x14ac:dyDescent="0.25">
      <c r="A2" t="s">
        <v>366</v>
      </c>
      <c r="B2" t="s">
        <v>0</v>
      </c>
      <c r="C2" t="s">
        <v>876</v>
      </c>
    </row>
    <row r="3" spans="1:3" x14ac:dyDescent="0.25">
      <c r="A3" t="s">
        <v>560</v>
      </c>
      <c r="B3" t="s">
        <v>0</v>
      </c>
      <c r="C3" t="s">
        <v>877</v>
      </c>
    </row>
    <row r="4" spans="1:3" x14ac:dyDescent="0.25">
      <c r="A4" t="s">
        <v>700</v>
      </c>
      <c r="B4" t="s">
        <v>0</v>
      </c>
      <c r="C4" t="s">
        <v>878</v>
      </c>
    </row>
    <row r="5" spans="1:3" x14ac:dyDescent="0.25">
      <c r="A5" t="s">
        <v>865</v>
      </c>
      <c r="B5" t="s">
        <v>0</v>
      </c>
      <c r="C5" t="s">
        <v>2</v>
      </c>
    </row>
    <row r="6" spans="1:3" x14ac:dyDescent="0.25">
      <c r="A6" t="s">
        <v>367</v>
      </c>
      <c r="B6" t="s">
        <v>0</v>
      </c>
      <c r="C6" t="s">
        <v>860</v>
      </c>
    </row>
    <row r="7" spans="1:3" x14ac:dyDescent="0.25">
      <c r="A7" t="s">
        <v>701</v>
      </c>
      <c r="B7" t="s">
        <v>3</v>
      </c>
      <c r="C7" t="s">
        <v>879</v>
      </c>
    </row>
  </sheetData>
  <pageMargins left="0.7" right="0.7" top="0.75" bottom="0.75" header="0.3" footer="0.3"/>
  <ignoredErrors>
    <ignoredError sqref="A1:C7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4"/>
  <dimension ref="A1:F7"/>
  <sheetViews>
    <sheetView workbookViewId="0"/>
  </sheetViews>
  <sheetFormatPr defaultRowHeight="15.75" x14ac:dyDescent="0.25"/>
  <cols>
    <col min="1" max="1" width="46.875" customWidth="1"/>
    <col min="2" max="6" width="10.875" customWidth="1"/>
  </cols>
  <sheetData>
    <row r="1" spans="1:6" x14ac:dyDescent="0.25">
      <c r="A1" t="s">
        <v>365</v>
      </c>
      <c r="B1" t="s">
        <v>0</v>
      </c>
      <c r="C1" t="s">
        <v>0</v>
      </c>
      <c r="D1" t="s">
        <v>3</v>
      </c>
      <c r="E1" t="s">
        <v>0</v>
      </c>
      <c r="F1" t="s">
        <v>880</v>
      </c>
    </row>
    <row r="2" spans="1:6" x14ac:dyDescent="0.25">
      <c r="A2" t="s">
        <v>366</v>
      </c>
      <c r="B2" t="s">
        <v>0</v>
      </c>
      <c r="C2" t="s">
        <v>0</v>
      </c>
      <c r="D2" t="s">
        <v>0</v>
      </c>
      <c r="E2" t="s">
        <v>0</v>
      </c>
      <c r="F2" t="s">
        <v>881</v>
      </c>
    </row>
    <row r="3" spans="1:6" x14ac:dyDescent="0.25">
      <c r="A3" t="s">
        <v>560</v>
      </c>
      <c r="B3" t="s">
        <v>0</v>
      </c>
      <c r="C3" t="s">
        <v>0</v>
      </c>
      <c r="D3" t="s">
        <v>0</v>
      </c>
      <c r="E3" t="s">
        <v>0</v>
      </c>
      <c r="F3" t="s">
        <v>882</v>
      </c>
    </row>
    <row r="4" spans="1:6" x14ac:dyDescent="0.25">
      <c r="A4" t="s">
        <v>700</v>
      </c>
      <c r="B4" t="s">
        <v>0</v>
      </c>
      <c r="C4" t="s">
        <v>0</v>
      </c>
      <c r="D4" t="s">
        <v>0</v>
      </c>
      <c r="E4" t="s">
        <v>0</v>
      </c>
      <c r="F4" t="s">
        <v>883</v>
      </c>
    </row>
    <row r="5" spans="1:6" x14ac:dyDescent="0.25">
      <c r="A5" t="s">
        <v>865</v>
      </c>
      <c r="B5" t="s">
        <v>0</v>
      </c>
      <c r="C5" t="s">
        <v>0</v>
      </c>
      <c r="D5" t="s">
        <v>0</v>
      </c>
      <c r="E5" t="s">
        <v>0</v>
      </c>
      <c r="F5" t="s">
        <v>884</v>
      </c>
    </row>
    <row r="6" spans="1:6" x14ac:dyDescent="0.25">
      <c r="A6" t="s">
        <v>367</v>
      </c>
      <c r="B6" t="s">
        <v>0</v>
      </c>
      <c r="C6" t="s">
        <v>0</v>
      </c>
      <c r="D6" t="s">
        <v>0</v>
      </c>
      <c r="E6" t="s">
        <v>0</v>
      </c>
      <c r="F6" t="s">
        <v>885</v>
      </c>
    </row>
    <row r="7" spans="1:6" x14ac:dyDescent="0.25">
      <c r="A7" t="s">
        <v>371</v>
      </c>
      <c r="B7" t="s">
        <v>0</v>
      </c>
      <c r="C7" t="s">
        <v>0</v>
      </c>
      <c r="D7" t="s">
        <v>3</v>
      </c>
      <c r="E7" t="s">
        <v>0</v>
      </c>
      <c r="F7" t="s">
        <v>886</v>
      </c>
    </row>
  </sheetData>
  <pageMargins left="0.7" right="0.7" top="0.75" bottom="0.75" header="0.3" footer="0.3"/>
  <ignoredErrors>
    <ignoredError sqref="A1:F7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7"/>
  <dimension ref="A1:D3"/>
  <sheetViews>
    <sheetView workbookViewId="0"/>
  </sheetViews>
  <sheetFormatPr defaultRowHeight="15.75" x14ac:dyDescent="0.25"/>
  <cols>
    <col min="1" max="1" width="60.875" customWidth="1"/>
    <col min="2" max="4" width="10.875" customWidth="1"/>
  </cols>
  <sheetData>
    <row r="1" spans="1:4" x14ac:dyDescent="0.25">
      <c r="A1" t="s">
        <v>195</v>
      </c>
      <c r="B1" t="s">
        <v>792</v>
      </c>
      <c r="C1" t="s">
        <v>644</v>
      </c>
      <c r="D1" t="s">
        <v>508</v>
      </c>
    </row>
    <row r="2" spans="1:4" x14ac:dyDescent="0.25">
      <c r="A2" t="s">
        <v>372</v>
      </c>
      <c r="B2" t="s">
        <v>887</v>
      </c>
      <c r="C2" t="s">
        <v>702</v>
      </c>
      <c r="D2" t="s">
        <v>561</v>
      </c>
    </row>
    <row r="3" spans="1:4" x14ac:dyDescent="0.25">
      <c r="A3" t="s">
        <v>376</v>
      </c>
      <c r="B3" t="s">
        <v>794</v>
      </c>
      <c r="C3" t="s">
        <v>646</v>
      </c>
      <c r="D3" t="s">
        <v>514</v>
      </c>
    </row>
  </sheetData>
  <pageMargins left="0.7" right="0.7" top="0.75" bottom="0.75" header="0.3" footer="0.3"/>
  <ignoredErrors>
    <ignoredError sqref="A1:D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0"/>
  <dimension ref="A1:E5"/>
  <sheetViews>
    <sheetView workbookViewId="0"/>
  </sheetViews>
  <sheetFormatPr defaultRowHeight="15.75" x14ac:dyDescent="0.25"/>
  <cols>
    <col min="1" max="1" width="34.875" customWidth="1"/>
    <col min="2" max="5" width="10.875" customWidth="1"/>
  </cols>
  <sheetData>
    <row r="1" spans="1:5" x14ac:dyDescent="0.25">
      <c r="A1" t="s">
        <v>703</v>
      </c>
      <c r="B1" t="s">
        <v>0</v>
      </c>
      <c r="C1" t="s">
        <v>704</v>
      </c>
      <c r="D1" t="s">
        <v>3</v>
      </c>
      <c r="E1" t="s">
        <v>705</v>
      </c>
    </row>
    <row r="2" spans="1:5" x14ac:dyDescent="0.25">
      <c r="A2" t="s">
        <v>378</v>
      </c>
      <c r="B2" t="s">
        <v>0</v>
      </c>
      <c r="C2" t="s">
        <v>889</v>
      </c>
      <c r="D2" t="s">
        <v>0</v>
      </c>
      <c r="E2" t="s">
        <v>888</v>
      </c>
    </row>
    <row r="3" spans="1:5" x14ac:dyDescent="0.25">
      <c r="A3" t="s">
        <v>379</v>
      </c>
      <c r="B3" t="s">
        <v>0</v>
      </c>
      <c r="C3" t="s">
        <v>890</v>
      </c>
      <c r="D3" t="s">
        <v>0</v>
      </c>
      <c r="E3" t="s">
        <v>891</v>
      </c>
    </row>
    <row r="4" spans="1:5" x14ac:dyDescent="0.25">
      <c r="A4" t="s">
        <v>380</v>
      </c>
      <c r="B4" t="s">
        <v>0</v>
      </c>
      <c r="C4" t="s">
        <v>386</v>
      </c>
      <c r="D4" t="s">
        <v>0</v>
      </c>
      <c r="E4" t="s">
        <v>892</v>
      </c>
    </row>
    <row r="5" spans="1:5" x14ac:dyDescent="0.25">
      <c r="A5" t="s">
        <v>893</v>
      </c>
      <c r="B5" t="s">
        <v>0</v>
      </c>
      <c r="C5" t="s">
        <v>894</v>
      </c>
      <c r="D5" t="s">
        <v>3</v>
      </c>
      <c r="E5" t="s">
        <v>895</v>
      </c>
    </row>
  </sheetData>
  <pageMargins left="0.7" right="0.7" top="0.75" bottom="0.75" header="0.3" footer="0.3"/>
  <ignoredErrors>
    <ignoredError sqref="A1:E5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1"/>
  <dimension ref="A1:H7"/>
  <sheetViews>
    <sheetView workbookViewId="0"/>
  </sheetViews>
  <sheetFormatPr defaultRowHeight="15.75" x14ac:dyDescent="0.25"/>
  <cols>
    <col min="1" max="1" width="49.875" customWidth="1"/>
    <col min="2" max="8" width="10.875" customWidth="1"/>
  </cols>
  <sheetData>
    <row r="1" spans="1:8" x14ac:dyDescent="0.25">
      <c r="A1" t="s">
        <v>706</v>
      </c>
      <c r="B1" t="s">
        <v>707</v>
      </c>
      <c r="C1" t="s">
        <v>3</v>
      </c>
      <c r="D1" t="s">
        <v>708</v>
      </c>
      <c r="E1" t="s">
        <v>0</v>
      </c>
      <c r="F1" t="s">
        <v>709</v>
      </c>
      <c r="G1" t="s">
        <v>3</v>
      </c>
      <c r="H1" t="s">
        <v>710</v>
      </c>
    </row>
    <row r="2" spans="1:8" x14ac:dyDescent="0.25">
      <c r="A2" t="s">
        <v>381</v>
      </c>
      <c r="B2" t="s">
        <v>889</v>
      </c>
      <c r="C2" t="s">
        <v>0</v>
      </c>
      <c r="D2" t="s">
        <v>896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382</v>
      </c>
      <c r="B3" t="s">
        <v>897</v>
      </c>
      <c r="C3" t="s">
        <v>0</v>
      </c>
      <c r="D3" t="s">
        <v>898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380</v>
      </c>
      <c r="B4" t="s">
        <v>899</v>
      </c>
      <c r="C4" t="s">
        <v>0</v>
      </c>
      <c r="D4" t="s">
        <v>900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901</v>
      </c>
      <c r="B5" t="s">
        <v>902</v>
      </c>
      <c r="C5" t="s">
        <v>3</v>
      </c>
      <c r="D5" t="s">
        <v>903</v>
      </c>
      <c r="E5" t="s">
        <v>0</v>
      </c>
      <c r="F5" t="s">
        <v>904</v>
      </c>
      <c r="G5" t="s">
        <v>3</v>
      </c>
      <c r="H5" t="s">
        <v>905</v>
      </c>
    </row>
    <row r="6" spans="1:8" x14ac:dyDescent="0.25">
      <c r="A6" t="s">
        <v>906</v>
      </c>
      <c r="B6" t="s">
        <v>907</v>
      </c>
      <c r="C6" t="s">
        <v>3</v>
      </c>
      <c r="D6" t="s">
        <v>908</v>
      </c>
      <c r="E6" t="s">
        <v>0</v>
      </c>
      <c r="F6" t="s">
        <v>909</v>
      </c>
      <c r="G6" t="s">
        <v>3</v>
      </c>
      <c r="H6" t="s">
        <v>910</v>
      </c>
    </row>
    <row r="7" spans="1:8" x14ac:dyDescent="0.25">
      <c r="A7" t="s">
        <v>911</v>
      </c>
      <c r="B7" t="s">
        <v>912</v>
      </c>
      <c r="C7" t="s">
        <v>3</v>
      </c>
      <c r="D7" t="s">
        <v>903</v>
      </c>
      <c r="E7" t="s">
        <v>0</v>
      </c>
      <c r="F7" t="s">
        <v>904</v>
      </c>
      <c r="G7" t="s">
        <v>3</v>
      </c>
      <c r="H7" t="s">
        <v>913</v>
      </c>
    </row>
  </sheetData>
  <pageMargins left="0.7" right="0.7" top="0.75" bottom="0.75" header="0.3" footer="0.3"/>
  <ignoredErrors>
    <ignoredError sqref="A1:H7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2"/>
  <dimension ref="A1:G7"/>
  <sheetViews>
    <sheetView workbookViewId="0"/>
  </sheetViews>
  <sheetFormatPr defaultRowHeight="15.75" x14ac:dyDescent="0.25"/>
  <cols>
    <col min="1" max="1" width="49.875" customWidth="1"/>
    <col min="2" max="7" width="10.875" customWidth="1"/>
  </cols>
  <sheetData>
    <row r="1" spans="1:7" x14ac:dyDescent="0.25">
      <c r="A1" t="s">
        <v>706</v>
      </c>
      <c r="B1" t="s">
        <v>712</v>
      </c>
      <c r="C1" t="s">
        <v>3</v>
      </c>
      <c r="D1" t="s">
        <v>713</v>
      </c>
      <c r="E1" t="s">
        <v>714</v>
      </c>
      <c r="F1" t="s">
        <v>3</v>
      </c>
      <c r="G1" t="s">
        <v>715</v>
      </c>
    </row>
    <row r="2" spans="1:7" x14ac:dyDescent="0.25">
      <c r="A2" t="s">
        <v>381</v>
      </c>
      <c r="B2" t="s">
        <v>4</v>
      </c>
      <c r="C2" t="s">
        <v>0</v>
      </c>
      <c r="D2" t="s">
        <v>4</v>
      </c>
      <c r="E2" t="s">
        <v>0</v>
      </c>
      <c r="F2" t="s">
        <v>0</v>
      </c>
      <c r="G2" t="s">
        <v>0</v>
      </c>
    </row>
    <row r="3" spans="1:7" x14ac:dyDescent="0.25">
      <c r="A3" t="s">
        <v>382</v>
      </c>
      <c r="B3" t="s">
        <v>4</v>
      </c>
      <c r="C3" t="s">
        <v>0</v>
      </c>
      <c r="D3" t="s">
        <v>4</v>
      </c>
      <c r="E3" t="s">
        <v>0</v>
      </c>
      <c r="F3" t="s">
        <v>0</v>
      </c>
      <c r="G3" t="s">
        <v>0</v>
      </c>
    </row>
    <row r="4" spans="1:7" x14ac:dyDescent="0.25">
      <c r="A4" t="s">
        <v>380</v>
      </c>
      <c r="B4" t="s">
        <v>4</v>
      </c>
      <c r="C4" t="s">
        <v>0</v>
      </c>
      <c r="D4" t="s">
        <v>4</v>
      </c>
      <c r="E4" t="s">
        <v>0</v>
      </c>
      <c r="F4" t="s">
        <v>0</v>
      </c>
      <c r="G4" t="s">
        <v>0</v>
      </c>
    </row>
    <row r="5" spans="1:7" x14ac:dyDescent="0.25">
      <c r="A5" t="s">
        <v>901</v>
      </c>
      <c r="B5" t="s">
        <v>712</v>
      </c>
      <c r="C5" t="s">
        <v>3</v>
      </c>
      <c r="D5" t="s">
        <v>713</v>
      </c>
      <c r="E5" t="s">
        <v>383</v>
      </c>
      <c r="F5" t="s">
        <v>3</v>
      </c>
      <c r="G5" t="s">
        <v>914</v>
      </c>
    </row>
    <row r="6" spans="1:7" x14ac:dyDescent="0.25">
      <c r="A6" t="s">
        <v>906</v>
      </c>
      <c r="B6" t="s">
        <v>915</v>
      </c>
      <c r="C6" t="s">
        <v>3</v>
      </c>
      <c r="D6" t="s">
        <v>916</v>
      </c>
      <c r="E6" t="s">
        <v>917</v>
      </c>
      <c r="F6" t="s">
        <v>3</v>
      </c>
      <c r="G6" t="s">
        <v>918</v>
      </c>
    </row>
    <row r="7" spans="1:7" x14ac:dyDescent="0.25">
      <c r="A7" t="s">
        <v>911</v>
      </c>
      <c r="B7" t="s">
        <v>919</v>
      </c>
      <c r="C7" t="s">
        <v>3</v>
      </c>
      <c r="D7" t="s">
        <v>713</v>
      </c>
      <c r="E7" t="s">
        <v>383</v>
      </c>
      <c r="F7" t="s">
        <v>3</v>
      </c>
      <c r="G7" t="s">
        <v>920</v>
      </c>
    </row>
  </sheetData>
  <pageMargins left="0.7" right="0.7" top="0.75" bottom="0.75" header="0.3" footer="0.3"/>
  <ignoredErrors>
    <ignoredError sqref="A1:G7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9"/>
  <dimension ref="A1:H13"/>
  <sheetViews>
    <sheetView workbookViewId="0"/>
  </sheetViews>
  <sheetFormatPr defaultRowHeight="15.75" x14ac:dyDescent="0.25"/>
  <cols>
    <col min="1" max="1" width="53.875" customWidth="1"/>
    <col min="2" max="3" width="10.875" customWidth="1"/>
    <col min="4" max="4" width="11.875" customWidth="1"/>
    <col min="5" max="5" width="10.875" customWidth="1"/>
    <col min="6" max="6" width="11.875" customWidth="1"/>
    <col min="7" max="7" width="10.875" customWidth="1"/>
    <col min="8" max="8" width="12.875" customWidth="1"/>
  </cols>
  <sheetData>
    <row r="1" spans="1:8" x14ac:dyDescent="0.25">
      <c r="A1" t="s">
        <v>31</v>
      </c>
      <c r="B1" t="s">
        <v>0</v>
      </c>
      <c r="C1" t="s">
        <v>3</v>
      </c>
      <c r="D1" t="s">
        <v>740</v>
      </c>
      <c r="E1" t="s">
        <v>3</v>
      </c>
      <c r="F1" t="s">
        <v>741</v>
      </c>
      <c r="G1" t="s">
        <v>3</v>
      </c>
      <c r="H1" t="s">
        <v>742</v>
      </c>
    </row>
    <row r="2" spans="1:8" x14ac:dyDescent="0.25">
      <c r="A2" t="s">
        <v>43</v>
      </c>
      <c r="B2" t="s">
        <v>0</v>
      </c>
      <c r="C2" t="s">
        <v>0</v>
      </c>
      <c r="D2" t="s">
        <v>743</v>
      </c>
      <c r="E2" t="s">
        <v>0</v>
      </c>
      <c r="F2" t="s">
        <v>744</v>
      </c>
      <c r="G2" t="s">
        <v>0</v>
      </c>
      <c r="H2" t="s">
        <v>745</v>
      </c>
    </row>
    <row r="3" spans="1:8" x14ac:dyDescent="0.25">
      <c r="A3" t="s">
        <v>144</v>
      </c>
      <c r="B3" t="s">
        <v>0</v>
      </c>
      <c r="C3" t="s">
        <v>0</v>
      </c>
      <c r="D3" t="s">
        <v>923</v>
      </c>
      <c r="E3" t="s">
        <v>0</v>
      </c>
      <c r="F3" t="s">
        <v>924</v>
      </c>
      <c r="G3" t="s">
        <v>0</v>
      </c>
      <c r="H3" t="s">
        <v>776</v>
      </c>
    </row>
    <row r="4" spans="1:8" x14ac:dyDescent="0.25">
      <c r="A4" t="s">
        <v>777</v>
      </c>
      <c r="B4" t="s">
        <v>0</v>
      </c>
      <c r="C4" t="s">
        <v>0</v>
      </c>
      <c r="D4" t="s">
        <v>925</v>
      </c>
      <c r="E4" t="s">
        <v>0</v>
      </c>
      <c r="F4" t="s">
        <v>926</v>
      </c>
      <c r="G4" t="s">
        <v>0</v>
      </c>
      <c r="H4" t="s">
        <v>778</v>
      </c>
    </row>
    <row r="5" spans="1:8" x14ac:dyDescent="0.25">
      <c r="A5" t="s">
        <v>153</v>
      </c>
      <c r="B5" t="s">
        <v>0</v>
      </c>
      <c r="C5" t="s">
        <v>0</v>
      </c>
      <c r="D5" t="s">
        <v>927</v>
      </c>
      <c r="E5" t="s">
        <v>0</v>
      </c>
      <c r="F5" t="s">
        <v>928</v>
      </c>
      <c r="G5" t="s">
        <v>0</v>
      </c>
      <c r="H5" t="s">
        <v>779</v>
      </c>
    </row>
    <row r="6" spans="1:8" x14ac:dyDescent="0.25">
      <c r="A6" t="s">
        <v>157</v>
      </c>
      <c r="B6" t="s">
        <v>0</v>
      </c>
      <c r="C6" t="s">
        <v>0</v>
      </c>
      <c r="D6" t="s">
        <v>929</v>
      </c>
      <c r="E6" t="s">
        <v>0</v>
      </c>
      <c r="F6" t="s">
        <v>930</v>
      </c>
      <c r="G6" t="s">
        <v>0</v>
      </c>
      <c r="H6" t="s">
        <v>780</v>
      </c>
    </row>
    <row r="7" spans="1:8" x14ac:dyDescent="0.25">
      <c r="A7" t="s">
        <v>165</v>
      </c>
      <c r="B7" t="s">
        <v>0</v>
      </c>
      <c r="C7" t="s">
        <v>3</v>
      </c>
      <c r="D7" t="s">
        <v>931</v>
      </c>
      <c r="E7" t="s">
        <v>3</v>
      </c>
      <c r="F7" t="s">
        <v>932</v>
      </c>
      <c r="G7" t="s">
        <v>3</v>
      </c>
      <c r="H7" t="s">
        <v>782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0</v>
      </c>
      <c r="C9" t="s">
        <v>3</v>
      </c>
      <c r="D9" t="s">
        <v>933</v>
      </c>
      <c r="E9" t="s">
        <v>3</v>
      </c>
      <c r="F9" t="s">
        <v>934</v>
      </c>
      <c r="G9" t="s">
        <v>3</v>
      </c>
      <c r="H9" t="s">
        <v>935</v>
      </c>
    </row>
    <row r="10" spans="1:8" x14ac:dyDescent="0.25">
      <c r="A10" t="s">
        <v>936</v>
      </c>
      <c r="B10" t="s">
        <v>0</v>
      </c>
      <c r="C10" t="s">
        <v>0</v>
      </c>
      <c r="D10" t="s">
        <v>937</v>
      </c>
      <c r="E10" t="s">
        <v>0</v>
      </c>
      <c r="F10" t="s">
        <v>938</v>
      </c>
      <c r="G10" t="s">
        <v>0</v>
      </c>
      <c r="H10" t="s">
        <v>783</v>
      </c>
    </row>
    <row r="11" spans="1:8" x14ac:dyDescent="0.25">
      <c r="A11" t="s">
        <v>402</v>
      </c>
      <c r="B11" t="s">
        <v>0</v>
      </c>
      <c r="C11" t="s">
        <v>0</v>
      </c>
      <c r="D11" t="s">
        <v>939</v>
      </c>
      <c r="E11" t="s">
        <v>0</v>
      </c>
      <c r="F11" t="s">
        <v>940</v>
      </c>
      <c r="G11" t="s">
        <v>0</v>
      </c>
      <c r="H11" t="s">
        <v>941</v>
      </c>
    </row>
    <row r="12" spans="1:8" x14ac:dyDescent="0.25">
      <c r="A12" t="s">
        <v>92</v>
      </c>
      <c r="B12" t="s">
        <v>0</v>
      </c>
      <c r="C12" t="s">
        <v>0</v>
      </c>
      <c r="D12" t="s">
        <v>942</v>
      </c>
      <c r="E12" t="s">
        <v>0</v>
      </c>
      <c r="F12" t="s">
        <v>943</v>
      </c>
      <c r="G12" t="s">
        <v>0</v>
      </c>
      <c r="H12" t="s">
        <v>759</v>
      </c>
    </row>
    <row r="13" spans="1:8" x14ac:dyDescent="0.25">
      <c r="A13" t="s">
        <v>86</v>
      </c>
      <c r="B13" t="s">
        <v>0</v>
      </c>
      <c r="C13" t="s">
        <v>0</v>
      </c>
      <c r="D13" t="s">
        <v>944</v>
      </c>
      <c r="E13" t="s">
        <v>0</v>
      </c>
      <c r="F13" t="s">
        <v>945</v>
      </c>
      <c r="G13" t="s">
        <v>0</v>
      </c>
      <c r="H13" t="s">
        <v>757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0"/>
  <dimension ref="A1:I13"/>
  <sheetViews>
    <sheetView workbookViewId="0"/>
  </sheetViews>
  <sheetFormatPr defaultRowHeight="15.75" x14ac:dyDescent="0.25"/>
  <cols>
    <col min="1" max="1" width="53.875" customWidth="1"/>
    <col min="2" max="4" width="10.875" customWidth="1"/>
    <col min="5" max="5" width="11.875" customWidth="1"/>
    <col min="6" max="6" width="10.875" customWidth="1"/>
    <col min="7" max="7" width="11.875" customWidth="1"/>
    <col min="8" max="8" width="10.875" customWidth="1"/>
    <col min="9" max="9" width="11.875" customWidth="1"/>
  </cols>
  <sheetData>
    <row r="1" spans="1:9" x14ac:dyDescent="0.25">
      <c r="A1" t="s">
        <v>31</v>
      </c>
      <c r="B1" t="s">
        <v>0</v>
      </c>
      <c r="C1" t="s">
        <v>0</v>
      </c>
      <c r="D1" t="s">
        <v>3</v>
      </c>
      <c r="E1" t="s">
        <v>588</v>
      </c>
      <c r="F1" t="s">
        <v>3</v>
      </c>
      <c r="G1" t="s">
        <v>589</v>
      </c>
      <c r="H1" t="s">
        <v>3</v>
      </c>
      <c r="I1" t="s">
        <v>590</v>
      </c>
    </row>
    <row r="2" spans="1:9" x14ac:dyDescent="0.25">
      <c r="A2" t="s">
        <v>43</v>
      </c>
      <c r="B2" t="s">
        <v>0</v>
      </c>
      <c r="C2" t="s">
        <v>0</v>
      </c>
      <c r="D2" t="s">
        <v>0</v>
      </c>
      <c r="E2" t="s">
        <v>591</v>
      </c>
      <c r="F2" t="s">
        <v>0</v>
      </c>
      <c r="G2" t="s">
        <v>592</v>
      </c>
      <c r="H2" t="s">
        <v>0</v>
      </c>
      <c r="I2" t="s">
        <v>593</v>
      </c>
    </row>
    <row r="3" spans="1:9" x14ac:dyDescent="0.25">
      <c r="A3" t="s">
        <v>144</v>
      </c>
      <c r="B3" t="s">
        <v>0</v>
      </c>
      <c r="C3" t="s">
        <v>0</v>
      </c>
      <c r="D3" t="s">
        <v>0</v>
      </c>
      <c r="E3" t="s">
        <v>716</v>
      </c>
      <c r="F3" t="s">
        <v>0</v>
      </c>
      <c r="G3" t="s">
        <v>717</v>
      </c>
      <c r="H3" t="s">
        <v>0</v>
      </c>
      <c r="I3" t="s">
        <v>627</v>
      </c>
    </row>
    <row r="4" spans="1:9" x14ac:dyDescent="0.25">
      <c r="A4" t="s">
        <v>777</v>
      </c>
      <c r="B4" t="s">
        <v>0</v>
      </c>
      <c r="C4" t="s">
        <v>0</v>
      </c>
      <c r="D4" t="s">
        <v>0</v>
      </c>
      <c r="E4" t="s">
        <v>718</v>
      </c>
      <c r="F4" t="s">
        <v>0</v>
      </c>
      <c r="G4" t="s">
        <v>719</v>
      </c>
      <c r="H4" t="s">
        <v>0</v>
      </c>
      <c r="I4" t="s">
        <v>628</v>
      </c>
    </row>
    <row r="5" spans="1:9" x14ac:dyDescent="0.25">
      <c r="A5" t="s">
        <v>153</v>
      </c>
      <c r="B5" t="s">
        <v>0</v>
      </c>
      <c r="C5" t="s">
        <v>0</v>
      </c>
      <c r="D5" t="s">
        <v>0</v>
      </c>
      <c r="E5" t="s">
        <v>720</v>
      </c>
      <c r="F5" t="s">
        <v>0</v>
      </c>
      <c r="G5" t="s">
        <v>721</v>
      </c>
      <c r="H5" t="s">
        <v>0</v>
      </c>
      <c r="I5" t="s">
        <v>629</v>
      </c>
    </row>
    <row r="6" spans="1:9" x14ac:dyDescent="0.25">
      <c r="A6" t="s">
        <v>157</v>
      </c>
      <c r="B6" t="s">
        <v>0</v>
      </c>
      <c r="C6" t="s">
        <v>0</v>
      </c>
      <c r="D6" t="s">
        <v>0</v>
      </c>
      <c r="E6" t="s">
        <v>722</v>
      </c>
      <c r="F6" t="s">
        <v>0</v>
      </c>
      <c r="G6" t="s">
        <v>723</v>
      </c>
      <c r="H6" t="s">
        <v>0</v>
      </c>
      <c r="I6" t="s">
        <v>630</v>
      </c>
    </row>
    <row r="7" spans="1:9" x14ac:dyDescent="0.25">
      <c r="A7" t="s">
        <v>165</v>
      </c>
      <c r="B7" t="s">
        <v>0</v>
      </c>
      <c r="C7" t="s">
        <v>0</v>
      </c>
      <c r="D7" t="s">
        <v>3</v>
      </c>
      <c r="E7" t="s">
        <v>724</v>
      </c>
      <c r="F7" t="s">
        <v>3</v>
      </c>
      <c r="G7" t="s">
        <v>725</v>
      </c>
      <c r="H7" t="s">
        <v>3</v>
      </c>
      <c r="I7" t="s">
        <v>632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x14ac:dyDescent="0.25">
      <c r="A9" t="s">
        <v>398</v>
      </c>
      <c r="B9" t="s">
        <v>0</v>
      </c>
      <c r="C9" t="s">
        <v>0</v>
      </c>
      <c r="D9" t="s">
        <v>3</v>
      </c>
      <c r="E9" t="s">
        <v>726</v>
      </c>
      <c r="F9" t="s">
        <v>3</v>
      </c>
      <c r="G9" t="s">
        <v>727</v>
      </c>
      <c r="H9" t="s">
        <v>3</v>
      </c>
      <c r="I9" t="s">
        <v>728</v>
      </c>
    </row>
    <row r="10" spans="1:9" x14ac:dyDescent="0.25">
      <c r="A10" t="s">
        <v>936</v>
      </c>
      <c r="B10" t="s">
        <v>0</v>
      </c>
      <c r="C10" t="s">
        <v>0</v>
      </c>
      <c r="D10" t="s">
        <v>0</v>
      </c>
      <c r="E10" t="s">
        <v>946</v>
      </c>
      <c r="F10" t="s">
        <v>0</v>
      </c>
      <c r="G10" t="s">
        <v>947</v>
      </c>
      <c r="H10" t="s">
        <v>0</v>
      </c>
      <c r="I10" t="s">
        <v>633</v>
      </c>
    </row>
    <row r="11" spans="1:9" x14ac:dyDescent="0.25">
      <c r="A11" t="s">
        <v>402</v>
      </c>
      <c r="B11" t="s">
        <v>0</v>
      </c>
      <c r="C11" t="s">
        <v>0</v>
      </c>
      <c r="D11" t="s">
        <v>0</v>
      </c>
      <c r="E11" t="s">
        <v>729</v>
      </c>
      <c r="F11" t="s">
        <v>0</v>
      </c>
      <c r="G11" t="s">
        <v>730</v>
      </c>
      <c r="H11" t="s">
        <v>0</v>
      </c>
      <c r="I11" t="s">
        <v>731</v>
      </c>
    </row>
    <row r="12" spans="1:9" x14ac:dyDescent="0.25">
      <c r="A12" t="s">
        <v>92</v>
      </c>
      <c r="B12" t="s">
        <v>0</v>
      </c>
      <c r="C12" t="s">
        <v>0</v>
      </c>
      <c r="D12" t="s">
        <v>0</v>
      </c>
      <c r="E12" t="s">
        <v>732</v>
      </c>
      <c r="F12" t="s">
        <v>0</v>
      </c>
      <c r="G12" t="s">
        <v>733</v>
      </c>
      <c r="H12" t="s">
        <v>0</v>
      </c>
      <c r="I12" t="s">
        <v>608</v>
      </c>
    </row>
    <row r="13" spans="1:9" x14ac:dyDescent="0.25">
      <c r="A13" t="s">
        <v>86</v>
      </c>
      <c r="B13" t="s">
        <v>0</v>
      </c>
      <c r="C13" t="s">
        <v>0</v>
      </c>
      <c r="D13" t="s">
        <v>0</v>
      </c>
      <c r="E13" t="s">
        <v>734</v>
      </c>
      <c r="F13" t="s">
        <v>0</v>
      </c>
      <c r="G13" t="s">
        <v>735</v>
      </c>
      <c r="H13" t="s">
        <v>0</v>
      </c>
      <c r="I13" t="s">
        <v>606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1"/>
  <dimension ref="A1:G13"/>
  <sheetViews>
    <sheetView workbookViewId="0"/>
  </sheetViews>
  <sheetFormatPr defaultRowHeight="15.75" x14ac:dyDescent="0.25"/>
  <cols>
    <col min="1" max="1" width="53.875" customWidth="1"/>
    <col min="2" max="2" width="10.875" customWidth="1"/>
    <col min="3" max="3" width="11.875" customWidth="1"/>
    <col min="4" max="6" width="10.875" customWidth="1"/>
    <col min="7" max="7" width="11.875" customWidth="1"/>
  </cols>
  <sheetData>
    <row r="1" spans="1:7" x14ac:dyDescent="0.25">
      <c r="A1" t="s">
        <v>31</v>
      </c>
      <c r="B1" t="s">
        <v>3</v>
      </c>
      <c r="C1" t="s">
        <v>450</v>
      </c>
      <c r="D1" t="s">
        <v>3</v>
      </c>
      <c r="E1" t="s">
        <v>451</v>
      </c>
      <c r="F1" t="s">
        <v>3</v>
      </c>
      <c r="G1" t="s">
        <v>452</v>
      </c>
    </row>
    <row r="2" spans="1:7" x14ac:dyDescent="0.25">
      <c r="A2" t="s">
        <v>43</v>
      </c>
      <c r="B2" t="s">
        <v>0</v>
      </c>
      <c r="C2" t="s">
        <v>453</v>
      </c>
      <c r="D2" t="s">
        <v>0</v>
      </c>
      <c r="E2" t="s">
        <v>454</v>
      </c>
      <c r="F2" t="s">
        <v>0</v>
      </c>
      <c r="G2" t="s">
        <v>455</v>
      </c>
    </row>
    <row r="3" spans="1:7" x14ac:dyDescent="0.25">
      <c r="A3" t="s">
        <v>144</v>
      </c>
      <c r="B3" t="s">
        <v>0</v>
      </c>
      <c r="C3" t="s">
        <v>564</v>
      </c>
      <c r="D3" t="s">
        <v>0</v>
      </c>
      <c r="E3" t="s">
        <v>565</v>
      </c>
      <c r="F3" t="s">
        <v>0</v>
      </c>
      <c r="G3" t="s">
        <v>488</v>
      </c>
    </row>
    <row r="4" spans="1:7" x14ac:dyDescent="0.25">
      <c r="A4" t="s">
        <v>777</v>
      </c>
      <c r="B4" t="s">
        <v>0</v>
      </c>
      <c r="C4" t="s">
        <v>566</v>
      </c>
      <c r="D4" t="s">
        <v>0</v>
      </c>
      <c r="E4" t="s">
        <v>567</v>
      </c>
      <c r="F4" t="s">
        <v>0</v>
      </c>
      <c r="G4" t="s">
        <v>489</v>
      </c>
    </row>
    <row r="5" spans="1:7" x14ac:dyDescent="0.25">
      <c r="A5" t="s">
        <v>153</v>
      </c>
      <c r="B5" t="s">
        <v>0</v>
      </c>
      <c r="C5" t="s">
        <v>568</v>
      </c>
      <c r="D5" t="s">
        <v>0</v>
      </c>
      <c r="E5" t="s">
        <v>569</v>
      </c>
      <c r="F5" t="s">
        <v>0</v>
      </c>
      <c r="G5" t="s">
        <v>490</v>
      </c>
    </row>
    <row r="6" spans="1:7" x14ac:dyDescent="0.25">
      <c r="A6" t="s">
        <v>157</v>
      </c>
      <c r="B6" t="s">
        <v>0</v>
      </c>
      <c r="C6" t="s">
        <v>570</v>
      </c>
      <c r="D6" t="s">
        <v>0</v>
      </c>
      <c r="E6" t="s">
        <v>571</v>
      </c>
      <c r="F6" t="s">
        <v>0</v>
      </c>
      <c r="G6" t="s">
        <v>491</v>
      </c>
    </row>
    <row r="7" spans="1:7" x14ac:dyDescent="0.25">
      <c r="A7" t="s">
        <v>165</v>
      </c>
      <c r="B7" t="s">
        <v>3</v>
      </c>
      <c r="C7" t="s">
        <v>572</v>
      </c>
      <c r="D7" t="s">
        <v>3</v>
      </c>
      <c r="E7" t="s">
        <v>573</v>
      </c>
      <c r="F7" t="s">
        <v>3</v>
      </c>
      <c r="G7" t="s">
        <v>493</v>
      </c>
    </row>
    <row r="8" spans="1:7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</row>
    <row r="9" spans="1:7" x14ac:dyDescent="0.25">
      <c r="A9" t="s">
        <v>398</v>
      </c>
      <c r="B9" t="s">
        <v>3</v>
      </c>
      <c r="C9" t="s">
        <v>574</v>
      </c>
      <c r="D9" t="s">
        <v>3</v>
      </c>
      <c r="E9" t="s">
        <v>575</v>
      </c>
      <c r="F9" t="s">
        <v>3</v>
      </c>
      <c r="G9" t="s">
        <v>576</v>
      </c>
    </row>
    <row r="10" spans="1:7" x14ac:dyDescent="0.25">
      <c r="A10" t="s">
        <v>936</v>
      </c>
      <c r="B10" t="s">
        <v>0</v>
      </c>
      <c r="C10" t="s">
        <v>948</v>
      </c>
      <c r="D10" t="s">
        <v>0</v>
      </c>
      <c r="E10" t="s">
        <v>949</v>
      </c>
      <c r="F10" t="s">
        <v>0</v>
      </c>
      <c r="G10" t="s">
        <v>496</v>
      </c>
    </row>
    <row r="11" spans="1:7" x14ac:dyDescent="0.25">
      <c r="A11" t="s">
        <v>402</v>
      </c>
      <c r="B11" t="s">
        <v>0</v>
      </c>
      <c r="C11" t="s">
        <v>577</v>
      </c>
      <c r="D11" t="s">
        <v>0</v>
      </c>
      <c r="E11" t="s">
        <v>578</v>
      </c>
      <c r="F11" t="s">
        <v>0</v>
      </c>
      <c r="G11" t="s">
        <v>579</v>
      </c>
    </row>
    <row r="12" spans="1:7" x14ac:dyDescent="0.25">
      <c r="A12" t="s">
        <v>92</v>
      </c>
      <c r="B12" t="s">
        <v>0</v>
      </c>
      <c r="C12" t="s">
        <v>580</v>
      </c>
      <c r="D12" t="s">
        <v>0</v>
      </c>
      <c r="E12" t="s">
        <v>581</v>
      </c>
      <c r="F12" t="s">
        <v>0</v>
      </c>
      <c r="G12" t="s">
        <v>470</v>
      </c>
    </row>
    <row r="13" spans="1:7" x14ac:dyDescent="0.25">
      <c r="A13" t="s">
        <v>86</v>
      </c>
      <c r="B13" t="s">
        <v>0</v>
      </c>
      <c r="C13" t="s">
        <v>408</v>
      </c>
      <c r="D13" t="s">
        <v>0</v>
      </c>
      <c r="E13" t="s">
        <v>582</v>
      </c>
      <c r="F13" t="s">
        <v>0</v>
      </c>
      <c r="G13" t="s">
        <v>468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7"/>
  <dimension ref="A1:G37"/>
  <sheetViews>
    <sheetView topLeftCell="A13" workbookViewId="0"/>
  </sheetViews>
  <sheetFormatPr defaultRowHeight="15.75" x14ac:dyDescent="0.25"/>
  <cols>
    <col min="1" max="1" width="60.875" customWidth="1"/>
    <col min="2" max="4" width="10.875" customWidth="1"/>
    <col min="5" max="5" width="11.875" customWidth="1"/>
    <col min="6" max="6" width="10.875" customWidth="1"/>
    <col min="7" max="7" width="12.875" customWidth="1"/>
  </cols>
  <sheetData>
    <row r="1" spans="1:7" x14ac:dyDescent="0.25">
      <c r="A1" t="s">
        <v>54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55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5">
      <c r="A3" t="s">
        <v>56</v>
      </c>
      <c r="B3" t="s">
        <v>0</v>
      </c>
      <c r="C3" t="s">
        <v>3</v>
      </c>
      <c r="D3" t="s">
        <v>0</v>
      </c>
      <c r="E3" t="s">
        <v>950</v>
      </c>
      <c r="F3" t="s">
        <v>3</v>
      </c>
      <c r="G3" t="s">
        <v>746</v>
      </c>
    </row>
    <row r="4" spans="1:7" x14ac:dyDescent="0.25">
      <c r="A4" t="s">
        <v>457</v>
      </c>
      <c r="B4" t="s">
        <v>0</v>
      </c>
      <c r="C4" t="s">
        <v>0</v>
      </c>
      <c r="D4" t="s">
        <v>0</v>
      </c>
      <c r="E4" t="s">
        <v>951</v>
      </c>
      <c r="F4" t="s">
        <v>0</v>
      </c>
      <c r="G4" t="s">
        <v>747</v>
      </c>
    </row>
    <row r="5" spans="1:7" x14ac:dyDescent="0.25">
      <c r="A5" t="s">
        <v>952</v>
      </c>
      <c r="B5" t="s">
        <v>0</v>
      </c>
      <c r="C5" t="s">
        <v>0</v>
      </c>
      <c r="D5" t="s">
        <v>0</v>
      </c>
      <c r="E5" t="s">
        <v>953</v>
      </c>
      <c r="F5" t="s">
        <v>0</v>
      </c>
      <c r="G5" t="s">
        <v>748</v>
      </c>
    </row>
    <row r="6" spans="1:7" x14ac:dyDescent="0.25">
      <c r="A6" t="s">
        <v>62</v>
      </c>
      <c r="B6" t="s">
        <v>0</v>
      </c>
      <c r="C6" t="s">
        <v>0</v>
      </c>
      <c r="D6" t="s">
        <v>0</v>
      </c>
      <c r="E6" t="s">
        <v>954</v>
      </c>
      <c r="F6" t="s">
        <v>0</v>
      </c>
      <c r="G6" t="s">
        <v>749</v>
      </c>
    </row>
    <row r="7" spans="1:7" x14ac:dyDescent="0.25">
      <c r="A7" t="s">
        <v>65</v>
      </c>
      <c r="B7" t="s">
        <v>0</v>
      </c>
      <c r="C7" t="s">
        <v>0</v>
      </c>
      <c r="D7" t="s">
        <v>0</v>
      </c>
      <c r="E7" t="s">
        <v>955</v>
      </c>
      <c r="F7" t="s">
        <v>0</v>
      </c>
      <c r="G7" t="s">
        <v>750</v>
      </c>
    </row>
    <row r="8" spans="1:7" x14ac:dyDescent="0.25">
      <c r="A8" t="s">
        <v>68</v>
      </c>
      <c r="B8" t="s">
        <v>0</v>
      </c>
      <c r="C8" t="s">
        <v>0</v>
      </c>
      <c r="D8" t="s">
        <v>0</v>
      </c>
      <c r="E8" t="s">
        <v>956</v>
      </c>
      <c r="F8" t="s">
        <v>0</v>
      </c>
      <c r="G8" t="s">
        <v>751</v>
      </c>
    </row>
    <row r="9" spans="1:7" x14ac:dyDescent="0.25">
      <c r="A9" t="s">
        <v>71</v>
      </c>
      <c r="B9" t="s">
        <v>0</v>
      </c>
      <c r="C9" t="s">
        <v>0</v>
      </c>
      <c r="D9" t="s">
        <v>0</v>
      </c>
      <c r="E9" t="s">
        <v>957</v>
      </c>
      <c r="F9" t="s">
        <v>0</v>
      </c>
      <c r="G9" t="s">
        <v>752</v>
      </c>
    </row>
    <row r="10" spans="1:7" x14ac:dyDescent="0.25">
      <c r="A10" t="s">
        <v>74</v>
      </c>
      <c r="B10" t="s">
        <v>0</v>
      </c>
      <c r="C10" t="s">
        <v>0</v>
      </c>
      <c r="D10" t="s">
        <v>0</v>
      </c>
      <c r="E10" t="s">
        <v>958</v>
      </c>
      <c r="F10" t="s">
        <v>0</v>
      </c>
      <c r="G10" t="s">
        <v>753</v>
      </c>
    </row>
    <row r="11" spans="1:7" x14ac:dyDescent="0.25">
      <c r="A11" t="s">
        <v>77</v>
      </c>
      <c r="B11" t="s">
        <v>0</v>
      </c>
      <c r="C11" t="s">
        <v>0</v>
      </c>
      <c r="D11" t="s">
        <v>0</v>
      </c>
      <c r="E11" t="s">
        <v>959</v>
      </c>
      <c r="F11" t="s">
        <v>0</v>
      </c>
      <c r="G11" t="s">
        <v>754</v>
      </c>
    </row>
    <row r="12" spans="1:7" x14ac:dyDescent="0.25">
      <c r="A12" t="s">
        <v>80</v>
      </c>
      <c r="B12" t="s">
        <v>0</v>
      </c>
      <c r="C12" t="s">
        <v>0</v>
      </c>
      <c r="D12" t="s">
        <v>0</v>
      </c>
      <c r="E12" t="s">
        <v>960</v>
      </c>
      <c r="F12" t="s">
        <v>0</v>
      </c>
      <c r="G12" t="s">
        <v>755</v>
      </c>
    </row>
    <row r="13" spans="1:7" x14ac:dyDescent="0.25">
      <c r="A13" t="s">
        <v>83</v>
      </c>
      <c r="B13" t="s">
        <v>0</v>
      </c>
      <c r="C13" t="s">
        <v>0</v>
      </c>
      <c r="D13" t="s">
        <v>0</v>
      </c>
      <c r="E13" t="s">
        <v>961</v>
      </c>
      <c r="F13" t="s">
        <v>0</v>
      </c>
      <c r="G13" t="s">
        <v>756</v>
      </c>
    </row>
    <row r="14" spans="1:7" x14ac:dyDescent="0.25">
      <c r="A14" t="s">
        <v>86</v>
      </c>
      <c r="B14" t="s">
        <v>0</v>
      </c>
      <c r="C14" t="s">
        <v>0</v>
      </c>
      <c r="D14" t="s">
        <v>0</v>
      </c>
      <c r="E14" t="s">
        <v>962</v>
      </c>
      <c r="F14" t="s">
        <v>0</v>
      </c>
      <c r="G14" t="s">
        <v>757</v>
      </c>
    </row>
    <row r="15" spans="1:7" x14ac:dyDescent="0.25">
      <c r="A15" t="s">
        <v>89</v>
      </c>
      <c r="B15" t="s">
        <v>0</v>
      </c>
      <c r="C15" t="s">
        <v>0</v>
      </c>
      <c r="D15" t="s">
        <v>0</v>
      </c>
      <c r="E15" t="s">
        <v>963</v>
      </c>
      <c r="F15" t="s">
        <v>0</v>
      </c>
      <c r="G15" t="s">
        <v>758</v>
      </c>
    </row>
    <row r="16" spans="1:7" x14ac:dyDescent="0.25">
      <c r="A16" t="s">
        <v>92</v>
      </c>
      <c r="B16" t="s">
        <v>0</v>
      </c>
      <c r="C16" t="s">
        <v>3</v>
      </c>
      <c r="D16" t="s">
        <v>0</v>
      </c>
      <c r="E16" t="s">
        <v>964</v>
      </c>
      <c r="F16" t="s">
        <v>3</v>
      </c>
      <c r="G16" t="s">
        <v>759</v>
      </c>
    </row>
    <row r="17" spans="1:7" x14ac:dyDescent="0.25">
      <c r="A17" t="s">
        <v>609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</row>
    <row r="18" spans="1:7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 spans="1:7" x14ac:dyDescent="0.25">
      <c r="A19" t="s">
        <v>97</v>
      </c>
      <c r="B19" t="s">
        <v>0</v>
      </c>
      <c r="C19" t="s">
        <v>3</v>
      </c>
      <c r="D19" t="s">
        <v>0</v>
      </c>
      <c r="E19" t="s">
        <v>965</v>
      </c>
      <c r="F19" t="s">
        <v>3</v>
      </c>
      <c r="G19" t="s">
        <v>760</v>
      </c>
    </row>
    <row r="20" spans="1:7" x14ac:dyDescent="0.25">
      <c r="A20" t="s">
        <v>100</v>
      </c>
      <c r="B20" t="s">
        <v>0</v>
      </c>
      <c r="C20" t="s">
        <v>0</v>
      </c>
      <c r="D20" t="s">
        <v>0</v>
      </c>
      <c r="E20" t="s">
        <v>966</v>
      </c>
      <c r="F20" t="s">
        <v>0</v>
      </c>
      <c r="G20" t="s">
        <v>761</v>
      </c>
    </row>
    <row r="21" spans="1:7" x14ac:dyDescent="0.25">
      <c r="A21" t="s">
        <v>103</v>
      </c>
      <c r="B21" t="s">
        <v>0</v>
      </c>
      <c r="C21" t="s">
        <v>0</v>
      </c>
      <c r="D21" t="s">
        <v>0</v>
      </c>
      <c r="E21" t="s">
        <v>967</v>
      </c>
      <c r="F21" t="s">
        <v>0</v>
      </c>
      <c r="G21" t="s">
        <v>762</v>
      </c>
    </row>
    <row r="22" spans="1:7" x14ac:dyDescent="0.25">
      <c r="A22" t="s">
        <v>105</v>
      </c>
      <c r="B22" t="s">
        <v>0</v>
      </c>
      <c r="C22" t="s">
        <v>0</v>
      </c>
      <c r="D22" t="s">
        <v>0</v>
      </c>
      <c r="E22" t="s">
        <v>968</v>
      </c>
      <c r="F22" t="s">
        <v>0</v>
      </c>
      <c r="G22" t="s">
        <v>763</v>
      </c>
    </row>
    <row r="23" spans="1:7" x14ac:dyDescent="0.25">
      <c r="A23" t="s">
        <v>108</v>
      </c>
      <c r="B23" t="s">
        <v>0</v>
      </c>
      <c r="C23" t="s">
        <v>0</v>
      </c>
      <c r="D23" t="s">
        <v>0</v>
      </c>
      <c r="E23" t="s">
        <v>969</v>
      </c>
      <c r="F23" t="s">
        <v>0</v>
      </c>
      <c r="G23" t="s">
        <v>764</v>
      </c>
    </row>
    <row r="24" spans="1:7" x14ac:dyDescent="0.25">
      <c r="A24" t="s">
        <v>111</v>
      </c>
      <c r="B24" t="s">
        <v>0</v>
      </c>
      <c r="C24" t="s">
        <v>0</v>
      </c>
      <c r="D24" t="s">
        <v>0</v>
      </c>
      <c r="E24" t="s">
        <v>970</v>
      </c>
      <c r="F24" t="s">
        <v>0</v>
      </c>
      <c r="G24" t="s">
        <v>765</v>
      </c>
    </row>
    <row r="25" spans="1:7" x14ac:dyDescent="0.25">
      <c r="A25" t="s">
        <v>103</v>
      </c>
      <c r="B25" t="s">
        <v>0</v>
      </c>
      <c r="C25" t="s">
        <v>0</v>
      </c>
      <c r="D25" t="s">
        <v>0</v>
      </c>
      <c r="E25" t="s">
        <v>971</v>
      </c>
      <c r="F25" t="s">
        <v>0</v>
      </c>
      <c r="G25" t="s">
        <v>766</v>
      </c>
    </row>
    <row r="26" spans="1:7" x14ac:dyDescent="0.25">
      <c r="A26" t="s">
        <v>116</v>
      </c>
      <c r="B26" t="s">
        <v>0</v>
      </c>
      <c r="C26" t="s">
        <v>0</v>
      </c>
      <c r="D26" t="s">
        <v>0</v>
      </c>
      <c r="E26" t="s">
        <v>972</v>
      </c>
      <c r="F26" t="s">
        <v>0</v>
      </c>
      <c r="G26" t="s">
        <v>767</v>
      </c>
    </row>
    <row r="27" spans="1:7" x14ac:dyDescent="0.25">
      <c r="A27" t="s">
        <v>122</v>
      </c>
      <c r="B27" t="s">
        <v>0</v>
      </c>
      <c r="C27" t="s">
        <v>0</v>
      </c>
      <c r="D27" t="s">
        <v>0</v>
      </c>
      <c r="E27" t="s">
        <v>973</v>
      </c>
      <c r="F27" t="s">
        <v>0</v>
      </c>
      <c r="G27" t="s">
        <v>768</v>
      </c>
    </row>
    <row r="28" spans="1:7" x14ac:dyDescent="0.25">
      <c r="A28" t="s">
        <v>125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</row>
    <row r="29" spans="1:7" x14ac:dyDescent="0.25">
      <c r="A29" t="s">
        <v>974</v>
      </c>
      <c r="B29" t="s">
        <v>0</v>
      </c>
      <c r="C29" t="s">
        <v>0</v>
      </c>
      <c r="D29" t="s">
        <v>0</v>
      </c>
      <c r="E29" t="s">
        <v>975</v>
      </c>
      <c r="F29" t="s">
        <v>0</v>
      </c>
      <c r="G29" t="s">
        <v>769</v>
      </c>
    </row>
    <row r="30" spans="1:7" x14ac:dyDescent="0.25">
      <c r="A30" t="s">
        <v>126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  <row r="31" spans="1:7" x14ac:dyDescent="0.25">
      <c r="A31" t="s">
        <v>976</v>
      </c>
      <c r="B31" t="s">
        <v>0</v>
      </c>
      <c r="C31" t="s">
        <v>0</v>
      </c>
      <c r="D31" t="s">
        <v>0</v>
      </c>
      <c r="E31" t="s">
        <v>977</v>
      </c>
      <c r="F31" t="s">
        <v>0</v>
      </c>
      <c r="G31" t="s">
        <v>977</v>
      </c>
    </row>
    <row r="32" spans="1:7" x14ac:dyDescent="0.25">
      <c r="A32" t="s">
        <v>978</v>
      </c>
      <c r="B32" t="s">
        <v>0</v>
      </c>
      <c r="C32" t="s">
        <v>0</v>
      </c>
      <c r="D32" t="s">
        <v>0</v>
      </c>
      <c r="E32" t="s">
        <v>979</v>
      </c>
      <c r="F32" t="s">
        <v>0</v>
      </c>
      <c r="G32" t="s">
        <v>771</v>
      </c>
    </row>
    <row r="33" spans="1:7" x14ac:dyDescent="0.25">
      <c r="A33" t="s">
        <v>130</v>
      </c>
      <c r="B33" t="s">
        <v>0</v>
      </c>
      <c r="C33" t="s">
        <v>0</v>
      </c>
      <c r="D33" t="s">
        <v>0</v>
      </c>
      <c r="E33" t="s">
        <v>980</v>
      </c>
      <c r="F33" t="s">
        <v>0</v>
      </c>
      <c r="G33" t="s">
        <v>772</v>
      </c>
    </row>
    <row r="34" spans="1:7" x14ac:dyDescent="0.25">
      <c r="A34" t="s">
        <v>133</v>
      </c>
      <c r="B34" t="s">
        <v>0</v>
      </c>
      <c r="C34" t="s">
        <v>0</v>
      </c>
      <c r="D34" t="s">
        <v>0</v>
      </c>
      <c r="E34" t="s">
        <v>981</v>
      </c>
      <c r="F34" t="s">
        <v>0</v>
      </c>
      <c r="G34" t="s">
        <v>773</v>
      </c>
    </row>
    <row r="35" spans="1:7" x14ac:dyDescent="0.25">
      <c r="A35" t="s">
        <v>136</v>
      </c>
      <c r="B35" t="s">
        <v>0</v>
      </c>
      <c r="C35" t="s">
        <v>0</v>
      </c>
      <c r="D35" t="s">
        <v>0</v>
      </c>
      <c r="E35" t="s">
        <v>982</v>
      </c>
      <c r="F35" t="s">
        <v>0</v>
      </c>
      <c r="G35" t="s">
        <v>774</v>
      </c>
    </row>
    <row r="36" spans="1:7" x14ac:dyDescent="0.25">
      <c r="A36" t="s">
        <v>139</v>
      </c>
      <c r="B36" t="s">
        <v>0</v>
      </c>
      <c r="C36" t="s">
        <v>0</v>
      </c>
      <c r="D36" t="s">
        <v>0</v>
      </c>
      <c r="E36" t="s">
        <v>983</v>
      </c>
      <c r="F36" t="s">
        <v>0</v>
      </c>
      <c r="G36" t="s">
        <v>775</v>
      </c>
    </row>
    <row r="37" spans="1:7" x14ac:dyDescent="0.25">
      <c r="A37" t="s">
        <v>626</v>
      </c>
      <c r="B37" t="s">
        <v>0</v>
      </c>
      <c r="C37" t="s">
        <v>3</v>
      </c>
      <c r="D37" t="s">
        <v>0</v>
      </c>
      <c r="E37" t="s">
        <v>964</v>
      </c>
      <c r="F37" t="s">
        <v>3</v>
      </c>
      <c r="G37" t="s">
        <v>759</v>
      </c>
    </row>
  </sheetData>
  <pageMargins left="0.7" right="0.7" top="0.75" bottom="0.75" header="0.3" footer="0.3"/>
  <ignoredErrors>
    <ignoredError sqref="A1:G37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8"/>
  <dimension ref="A1:F25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5" width="13.875" customWidth="1"/>
    <col min="6" max="6" width="11.875" customWidth="1"/>
  </cols>
  <sheetData>
    <row r="1" spans="1:6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t="s">
        <v>31</v>
      </c>
      <c r="B2" t="s">
        <v>3</v>
      </c>
      <c r="C2" t="s">
        <v>984</v>
      </c>
      <c r="D2" t="s">
        <v>985</v>
      </c>
      <c r="E2" t="s">
        <v>986</v>
      </c>
      <c r="F2" t="s">
        <v>987</v>
      </c>
    </row>
    <row r="3" spans="1:6" x14ac:dyDescent="0.25">
      <c r="A3" t="s">
        <v>43</v>
      </c>
      <c r="B3" t="s">
        <v>0</v>
      </c>
      <c r="C3" t="s">
        <v>988</v>
      </c>
      <c r="D3" t="s">
        <v>989</v>
      </c>
      <c r="E3" t="s">
        <v>990</v>
      </c>
      <c r="F3" t="s">
        <v>991</v>
      </c>
    </row>
    <row r="4" spans="1:6" x14ac:dyDescent="0.25">
      <c r="A4" t="s">
        <v>144</v>
      </c>
      <c r="B4" t="s">
        <v>0</v>
      </c>
      <c r="C4" t="s">
        <v>992</v>
      </c>
      <c r="D4" t="s">
        <v>993</v>
      </c>
      <c r="E4" t="s">
        <v>994</v>
      </c>
      <c r="F4" t="s">
        <v>995</v>
      </c>
    </row>
    <row r="5" spans="1:6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</row>
    <row r="6" spans="1:6" x14ac:dyDescent="0.25">
      <c r="A6" t="s">
        <v>777</v>
      </c>
      <c r="B6" t="s">
        <v>0</v>
      </c>
      <c r="C6" t="s">
        <v>996</v>
      </c>
      <c r="D6" t="s">
        <v>997</v>
      </c>
      <c r="E6" t="s">
        <v>998</v>
      </c>
      <c r="F6" t="s">
        <v>999</v>
      </c>
    </row>
    <row r="7" spans="1:6" x14ac:dyDescent="0.25">
      <c r="A7" t="s">
        <v>153</v>
      </c>
      <c r="B7" t="s">
        <v>0</v>
      </c>
      <c r="C7" t="s">
        <v>1000</v>
      </c>
      <c r="D7" t="s">
        <v>1001</v>
      </c>
      <c r="E7" t="s">
        <v>1002</v>
      </c>
      <c r="F7" t="s">
        <v>1003</v>
      </c>
    </row>
    <row r="8" spans="1:6" x14ac:dyDescent="0.25">
      <c r="A8" t="s">
        <v>157</v>
      </c>
      <c r="B8" t="s">
        <v>0</v>
      </c>
      <c r="C8" t="s">
        <v>1004</v>
      </c>
      <c r="D8" t="s">
        <v>1005</v>
      </c>
      <c r="E8" t="s">
        <v>1006</v>
      </c>
      <c r="F8" t="s">
        <v>1007</v>
      </c>
    </row>
    <row r="9" spans="1:6" x14ac:dyDescent="0.25">
      <c r="A9" t="s">
        <v>161</v>
      </c>
      <c r="B9" t="s">
        <v>0</v>
      </c>
      <c r="C9" t="s">
        <v>1008</v>
      </c>
      <c r="D9" t="s">
        <v>1009</v>
      </c>
      <c r="E9" t="s">
        <v>1010</v>
      </c>
      <c r="F9" t="s">
        <v>1011</v>
      </c>
    </row>
    <row r="10" spans="1:6" x14ac:dyDescent="0.25">
      <c r="A10" t="s">
        <v>165</v>
      </c>
      <c r="B10" t="s">
        <v>0</v>
      </c>
      <c r="C10" t="s">
        <v>1012</v>
      </c>
      <c r="D10" t="s">
        <v>1013</v>
      </c>
      <c r="E10" t="s">
        <v>1014</v>
      </c>
      <c r="F10" t="s">
        <v>1015</v>
      </c>
    </row>
    <row r="11" spans="1:6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6" x14ac:dyDescent="0.25">
      <c r="A12" t="s">
        <v>1016</v>
      </c>
      <c r="B12" t="s">
        <v>0</v>
      </c>
      <c r="C12" t="s">
        <v>1017</v>
      </c>
      <c r="D12" t="s">
        <v>1018</v>
      </c>
      <c r="E12" t="s">
        <v>1019</v>
      </c>
      <c r="F12" t="s">
        <v>1020</v>
      </c>
    </row>
    <row r="13" spans="1:6" x14ac:dyDescent="0.25">
      <c r="A13" t="s">
        <v>176</v>
      </c>
      <c r="B13" t="s">
        <v>0</v>
      </c>
      <c r="C13" t="s">
        <v>1021</v>
      </c>
      <c r="D13" t="s">
        <v>1022</v>
      </c>
      <c r="E13" t="s">
        <v>1023</v>
      </c>
      <c r="F13" t="s">
        <v>1024</v>
      </c>
    </row>
    <row r="14" spans="1:6" x14ac:dyDescent="0.25">
      <c r="A14" t="s">
        <v>635</v>
      </c>
      <c r="B14" t="s">
        <v>0</v>
      </c>
      <c r="C14" t="s">
        <v>1025</v>
      </c>
      <c r="D14" t="s">
        <v>1026</v>
      </c>
      <c r="E14" t="s">
        <v>1027</v>
      </c>
      <c r="F14" t="s">
        <v>1028</v>
      </c>
    </row>
    <row r="15" spans="1:6" x14ac:dyDescent="0.25">
      <c r="A15" t="s">
        <v>182</v>
      </c>
      <c r="B15" t="s">
        <v>0</v>
      </c>
      <c r="C15" t="s">
        <v>1029</v>
      </c>
      <c r="D15" t="s">
        <v>1030</v>
      </c>
      <c r="E15" t="s">
        <v>1031</v>
      </c>
      <c r="F15" t="s">
        <v>1032</v>
      </c>
    </row>
    <row r="16" spans="1:6" x14ac:dyDescent="0.25">
      <c r="A16" t="s">
        <v>186</v>
      </c>
      <c r="B16" t="s">
        <v>0</v>
      </c>
      <c r="C16" t="s">
        <v>1033</v>
      </c>
      <c r="D16" t="s">
        <v>1034</v>
      </c>
      <c r="E16" t="s">
        <v>1035</v>
      </c>
      <c r="F16" t="s">
        <v>1036</v>
      </c>
    </row>
    <row r="17" spans="1:6" x14ac:dyDescent="0.25">
      <c r="A17" t="s">
        <v>187</v>
      </c>
      <c r="B17" t="s">
        <v>0</v>
      </c>
      <c r="C17" t="s">
        <v>1037</v>
      </c>
      <c r="D17" t="s">
        <v>1038</v>
      </c>
      <c r="E17" t="s">
        <v>1039</v>
      </c>
      <c r="F17" t="s">
        <v>1040</v>
      </c>
    </row>
    <row r="18" spans="1:6" x14ac:dyDescent="0.25">
      <c r="A18" t="s">
        <v>1041</v>
      </c>
      <c r="B18" t="s">
        <v>0</v>
      </c>
      <c r="C18" t="s">
        <v>1042</v>
      </c>
      <c r="D18" t="s">
        <v>1043</v>
      </c>
      <c r="E18" t="s">
        <v>1044</v>
      </c>
      <c r="F18" t="s">
        <v>1045</v>
      </c>
    </row>
    <row r="19" spans="1:6" x14ac:dyDescent="0.25">
      <c r="A19" t="s">
        <v>641</v>
      </c>
      <c r="B19" t="s">
        <v>3</v>
      </c>
      <c r="C19" t="s">
        <v>1046</v>
      </c>
      <c r="D19" t="s">
        <v>1047</v>
      </c>
      <c r="E19" t="s">
        <v>1048</v>
      </c>
      <c r="F19" t="s">
        <v>1049</v>
      </c>
    </row>
    <row r="20" spans="1:6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  <row r="21" spans="1:6" x14ac:dyDescent="0.25">
      <c r="A21" t="s">
        <v>191</v>
      </c>
      <c r="B21" t="s">
        <v>3</v>
      </c>
      <c r="C21" t="s">
        <v>1050</v>
      </c>
      <c r="D21" t="s">
        <v>1051</v>
      </c>
      <c r="E21" t="s">
        <v>1052</v>
      </c>
      <c r="F21" t="s">
        <v>1053</v>
      </c>
    </row>
    <row r="22" spans="1:6" x14ac:dyDescent="0.25">
      <c r="A22" t="s">
        <v>195</v>
      </c>
      <c r="B22" t="s">
        <v>0</v>
      </c>
      <c r="C22" t="s">
        <v>1054</v>
      </c>
      <c r="D22" t="s">
        <v>1055</v>
      </c>
      <c r="E22" t="s">
        <v>1056</v>
      </c>
      <c r="F22" t="s">
        <v>1057</v>
      </c>
    </row>
    <row r="23" spans="1:6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</row>
    <row r="24" spans="1:6" x14ac:dyDescent="0.25">
      <c r="A24" t="s">
        <v>199</v>
      </c>
      <c r="B24" t="s">
        <v>3</v>
      </c>
      <c r="C24" t="s">
        <v>1050</v>
      </c>
      <c r="D24" t="s">
        <v>1051</v>
      </c>
      <c r="E24" t="s">
        <v>1058</v>
      </c>
      <c r="F24" t="s">
        <v>1059</v>
      </c>
    </row>
    <row r="25" spans="1:6" x14ac:dyDescent="0.25">
      <c r="A25" t="s">
        <v>203</v>
      </c>
      <c r="B25" t="s">
        <v>0</v>
      </c>
      <c r="C25" t="s">
        <v>1060</v>
      </c>
      <c r="D25" t="s">
        <v>1061</v>
      </c>
      <c r="E25" t="s">
        <v>1062</v>
      </c>
      <c r="F25" t="s">
        <v>1063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5"/>
  <dimension ref="A1:F3"/>
  <sheetViews>
    <sheetView workbookViewId="0"/>
  </sheetViews>
  <sheetFormatPr defaultRowHeight="15.75" x14ac:dyDescent="0.25"/>
  <cols>
    <col min="1" max="1" width="60.875" customWidth="1"/>
    <col min="2" max="6" width="10.875" customWidth="1"/>
  </cols>
  <sheetData>
    <row r="1" spans="1:6" x14ac:dyDescent="0.25">
      <c r="A1" t="s">
        <v>195</v>
      </c>
      <c r="B1" t="s">
        <v>0</v>
      </c>
      <c r="C1" t="s">
        <v>1054</v>
      </c>
      <c r="D1" t="s">
        <v>1055</v>
      </c>
      <c r="E1" t="s">
        <v>1056</v>
      </c>
      <c r="F1" t="s">
        <v>1057</v>
      </c>
    </row>
    <row r="2" spans="1:6" x14ac:dyDescent="0.25">
      <c r="A2" t="s">
        <v>372</v>
      </c>
      <c r="B2" t="s">
        <v>0</v>
      </c>
      <c r="C2" t="s">
        <v>1081</v>
      </c>
      <c r="D2" t="s">
        <v>1082</v>
      </c>
      <c r="E2" t="s">
        <v>1083</v>
      </c>
      <c r="F2" t="s">
        <v>1084</v>
      </c>
    </row>
    <row r="3" spans="1:6" x14ac:dyDescent="0.25">
      <c r="A3" t="s">
        <v>376</v>
      </c>
      <c r="B3" t="s">
        <v>0</v>
      </c>
      <c r="C3" t="s">
        <v>1060</v>
      </c>
      <c r="D3" t="s">
        <v>1061</v>
      </c>
      <c r="E3" t="s">
        <v>1062</v>
      </c>
      <c r="F3" t="s">
        <v>1063</v>
      </c>
    </row>
  </sheetData>
  <pageMargins left="0.7" right="0.7" top="0.75" bottom="0.75" header="0.3" footer="0.3"/>
  <ignoredErrors>
    <ignoredError sqref="A1:F3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7"/>
  <dimension ref="A1:F6"/>
  <sheetViews>
    <sheetView workbookViewId="0"/>
  </sheetViews>
  <sheetFormatPr defaultRowHeight="15.75" x14ac:dyDescent="0.25"/>
  <cols>
    <col min="1" max="1" width="34.875" customWidth="1"/>
    <col min="2" max="6" width="10.875" customWidth="1"/>
  </cols>
  <sheetData>
    <row r="1" spans="1:6" x14ac:dyDescent="0.25">
      <c r="A1" t="s">
        <v>901</v>
      </c>
      <c r="B1" t="s">
        <v>0</v>
      </c>
      <c r="C1" t="s">
        <v>1085</v>
      </c>
      <c r="D1" t="s">
        <v>903</v>
      </c>
      <c r="E1" t="s">
        <v>1086</v>
      </c>
      <c r="F1" t="s">
        <v>713</v>
      </c>
    </row>
    <row r="2" spans="1:6" x14ac:dyDescent="0.25">
      <c r="A2" t="s">
        <v>381</v>
      </c>
      <c r="B2" t="s">
        <v>0</v>
      </c>
      <c r="C2" t="s">
        <v>1087</v>
      </c>
      <c r="D2" t="s">
        <v>1088</v>
      </c>
      <c r="E2" t="s">
        <v>711</v>
      </c>
      <c r="F2" t="s">
        <v>1089</v>
      </c>
    </row>
    <row r="3" spans="1:6" x14ac:dyDescent="0.25">
      <c r="A3" t="s">
        <v>382</v>
      </c>
      <c r="B3" t="s">
        <v>0</v>
      </c>
      <c r="C3" t="s">
        <v>1090</v>
      </c>
      <c r="D3" t="s">
        <v>1091</v>
      </c>
      <c r="E3" t="s">
        <v>4</v>
      </c>
      <c r="F3" t="s">
        <v>4</v>
      </c>
    </row>
    <row r="4" spans="1:6" x14ac:dyDescent="0.25">
      <c r="A4" t="s">
        <v>380</v>
      </c>
      <c r="B4" t="s">
        <v>0</v>
      </c>
      <c r="C4" t="s">
        <v>1092</v>
      </c>
      <c r="D4" t="s">
        <v>1093</v>
      </c>
      <c r="E4" t="s">
        <v>4</v>
      </c>
      <c r="F4" t="s">
        <v>4</v>
      </c>
    </row>
    <row r="5" spans="1:6" x14ac:dyDescent="0.25">
      <c r="A5" t="s">
        <v>1094</v>
      </c>
      <c r="B5" t="s">
        <v>0</v>
      </c>
      <c r="C5" t="s">
        <v>1095</v>
      </c>
      <c r="D5" t="s">
        <v>1096</v>
      </c>
      <c r="E5" t="s">
        <v>1097</v>
      </c>
      <c r="F5" t="s">
        <v>1098</v>
      </c>
    </row>
    <row r="6" spans="1:6" x14ac:dyDescent="0.25">
      <c r="A6" t="s">
        <v>1099</v>
      </c>
      <c r="B6" t="s">
        <v>0</v>
      </c>
      <c r="C6" t="s">
        <v>1100</v>
      </c>
      <c r="D6" t="s">
        <v>1101</v>
      </c>
      <c r="E6" t="s">
        <v>1102</v>
      </c>
      <c r="F6" t="s">
        <v>1103</v>
      </c>
    </row>
  </sheetData>
  <pageMargins left="0.7" right="0.7" top="0.75" bottom="0.75" header="0.3" footer="0.3"/>
  <ignoredErrors>
    <ignoredError sqref="A1:F6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8"/>
  <dimension ref="A1:I5"/>
  <sheetViews>
    <sheetView workbookViewId="0"/>
  </sheetViews>
  <sheetFormatPr defaultRowHeight="15.75" x14ac:dyDescent="0.25"/>
  <cols>
    <col min="1" max="1" width="34.875" customWidth="1"/>
    <col min="2" max="9" width="10.875" customWidth="1"/>
  </cols>
  <sheetData>
    <row r="1" spans="1:9" x14ac:dyDescent="0.25">
      <c r="A1" t="s">
        <v>901</v>
      </c>
      <c r="B1" t="s">
        <v>0</v>
      </c>
      <c r="C1" t="s">
        <v>0</v>
      </c>
      <c r="D1" t="s">
        <v>0</v>
      </c>
      <c r="E1" t="s">
        <v>0</v>
      </c>
      <c r="F1" t="s">
        <v>921</v>
      </c>
      <c r="G1" t="s">
        <v>3</v>
      </c>
      <c r="H1" t="s">
        <v>0</v>
      </c>
      <c r="I1" t="s">
        <v>922</v>
      </c>
    </row>
    <row r="2" spans="1:9" x14ac:dyDescent="0.25">
      <c r="A2" t="s">
        <v>384</v>
      </c>
      <c r="B2" t="s">
        <v>0</v>
      </c>
      <c r="C2" t="s">
        <v>0</v>
      </c>
      <c r="D2" t="s">
        <v>0</v>
      </c>
      <c r="E2" t="s">
        <v>0</v>
      </c>
      <c r="F2" t="s">
        <v>1104</v>
      </c>
      <c r="G2" t="s">
        <v>0</v>
      </c>
      <c r="H2" t="s">
        <v>0</v>
      </c>
      <c r="I2" t="s">
        <v>1105</v>
      </c>
    </row>
    <row r="3" spans="1:9" x14ac:dyDescent="0.25">
      <c r="A3" t="s">
        <v>379</v>
      </c>
      <c r="B3" t="s">
        <v>0</v>
      </c>
      <c r="C3" t="s">
        <v>0</v>
      </c>
      <c r="D3" t="s">
        <v>0</v>
      </c>
      <c r="E3" t="s">
        <v>0</v>
      </c>
      <c r="F3" t="s">
        <v>1106</v>
      </c>
      <c r="G3" t="s">
        <v>0</v>
      </c>
      <c r="H3" t="s">
        <v>0</v>
      </c>
      <c r="I3" t="s">
        <v>1107</v>
      </c>
    </row>
    <row r="4" spans="1:9" x14ac:dyDescent="0.25">
      <c r="A4" t="s">
        <v>380</v>
      </c>
      <c r="B4" t="s">
        <v>0</v>
      </c>
      <c r="C4" t="s">
        <v>0</v>
      </c>
      <c r="D4" t="s">
        <v>0</v>
      </c>
      <c r="E4" t="s">
        <v>0</v>
      </c>
      <c r="F4" t="s">
        <v>1108</v>
      </c>
      <c r="G4" t="s">
        <v>0</v>
      </c>
      <c r="H4" t="s">
        <v>0</v>
      </c>
      <c r="I4" t="s">
        <v>1109</v>
      </c>
    </row>
    <row r="5" spans="1:9" x14ac:dyDescent="0.25">
      <c r="A5" t="s">
        <v>1094</v>
      </c>
      <c r="B5" t="s">
        <v>0</v>
      </c>
      <c r="C5" t="s">
        <v>0</v>
      </c>
      <c r="D5" t="s">
        <v>0</v>
      </c>
      <c r="E5" t="s">
        <v>0</v>
      </c>
      <c r="F5" t="s">
        <v>1110</v>
      </c>
      <c r="G5" t="s">
        <v>3</v>
      </c>
      <c r="H5" t="s">
        <v>0</v>
      </c>
      <c r="I5" t="s">
        <v>1111</v>
      </c>
    </row>
  </sheetData>
  <pageMargins left="0.7" right="0.7" top="0.75" bottom="0.75" header="0.3" footer="0.3"/>
  <ignoredErrors>
    <ignoredError sqref="A1:I5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9"/>
  <dimension ref="A1:H11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4" width="11.875" customWidth="1"/>
    <col min="5" max="5" width="13.875" customWidth="1"/>
    <col min="6" max="8" width="11.875" customWidth="1"/>
  </cols>
  <sheetData>
    <row r="1" spans="1:8" x14ac:dyDescent="0.25">
      <c r="A1" t="s">
        <v>31</v>
      </c>
      <c r="B1" t="s">
        <v>3</v>
      </c>
      <c r="C1" t="s">
        <v>1112</v>
      </c>
      <c r="D1" t="s">
        <v>1113</v>
      </c>
      <c r="E1" t="s">
        <v>984</v>
      </c>
      <c r="F1" t="s">
        <v>1114</v>
      </c>
      <c r="G1" t="s">
        <v>1115</v>
      </c>
      <c r="H1" t="s">
        <v>1116</v>
      </c>
    </row>
    <row r="2" spans="1:8" x14ac:dyDescent="0.25">
      <c r="A2" t="s">
        <v>43</v>
      </c>
      <c r="B2" t="s">
        <v>0</v>
      </c>
      <c r="C2" t="s">
        <v>1117</v>
      </c>
      <c r="D2" t="s">
        <v>1118</v>
      </c>
      <c r="E2" t="s">
        <v>988</v>
      </c>
      <c r="F2" t="s">
        <v>1119</v>
      </c>
      <c r="G2" t="s">
        <v>1120</v>
      </c>
      <c r="H2" t="s">
        <v>989</v>
      </c>
    </row>
    <row r="3" spans="1:8" x14ac:dyDescent="0.25">
      <c r="A3" t="s">
        <v>144</v>
      </c>
      <c r="B3" t="s">
        <v>0</v>
      </c>
      <c r="C3" t="s">
        <v>1121</v>
      </c>
      <c r="D3" t="s">
        <v>1122</v>
      </c>
      <c r="E3" t="s">
        <v>992</v>
      </c>
      <c r="F3" t="s">
        <v>1123</v>
      </c>
      <c r="G3" t="s">
        <v>1124</v>
      </c>
      <c r="H3" t="s">
        <v>993</v>
      </c>
    </row>
    <row r="4" spans="1:8" x14ac:dyDescent="0.25">
      <c r="A4" t="s">
        <v>777</v>
      </c>
      <c r="B4" t="s">
        <v>0</v>
      </c>
      <c r="C4" t="s">
        <v>1125</v>
      </c>
      <c r="D4" t="s">
        <v>1126</v>
      </c>
      <c r="E4" t="s">
        <v>996</v>
      </c>
      <c r="F4" t="s">
        <v>1127</v>
      </c>
      <c r="G4" t="s">
        <v>1128</v>
      </c>
      <c r="H4" t="s">
        <v>997</v>
      </c>
    </row>
    <row r="5" spans="1:8" x14ac:dyDescent="0.25">
      <c r="A5" t="s">
        <v>153</v>
      </c>
      <c r="B5" t="s">
        <v>0</v>
      </c>
      <c r="C5" t="s">
        <v>1129</v>
      </c>
      <c r="D5" t="s">
        <v>1130</v>
      </c>
      <c r="E5" t="s">
        <v>1000</v>
      </c>
      <c r="F5" t="s">
        <v>1131</v>
      </c>
      <c r="G5" t="s">
        <v>1132</v>
      </c>
      <c r="H5" t="s">
        <v>1001</v>
      </c>
    </row>
    <row r="6" spans="1:8" x14ac:dyDescent="0.25">
      <c r="A6" t="s">
        <v>157</v>
      </c>
      <c r="B6" t="s">
        <v>0</v>
      </c>
      <c r="C6" t="s">
        <v>1133</v>
      </c>
      <c r="D6" t="s">
        <v>1134</v>
      </c>
      <c r="E6" t="s">
        <v>1004</v>
      </c>
      <c r="F6" t="s">
        <v>1135</v>
      </c>
      <c r="G6" t="s">
        <v>1136</v>
      </c>
      <c r="H6" t="s">
        <v>1005</v>
      </c>
    </row>
    <row r="7" spans="1:8" x14ac:dyDescent="0.25">
      <c r="A7" t="s">
        <v>165</v>
      </c>
      <c r="B7" t="s">
        <v>3</v>
      </c>
      <c r="C7" t="s">
        <v>1137</v>
      </c>
      <c r="D7" t="s">
        <v>1138</v>
      </c>
      <c r="E7" t="s">
        <v>1139</v>
      </c>
      <c r="F7" t="s">
        <v>1140</v>
      </c>
      <c r="G7" t="s">
        <v>1141</v>
      </c>
      <c r="H7" t="s">
        <v>1013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1142</v>
      </c>
      <c r="B9" t="s">
        <v>3</v>
      </c>
      <c r="C9" t="s">
        <v>1143</v>
      </c>
      <c r="D9" t="s">
        <v>1144</v>
      </c>
      <c r="E9" t="s">
        <v>1145</v>
      </c>
      <c r="F9" t="s">
        <v>1146</v>
      </c>
      <c r="G9" t="s">
        <v>1147</v>
      </c>
      <c r="H9" t="s">
        <v>1148</v>
      </c>
    </row>
    <row r="10" spans="1:8" x14ac:dyDescent="0.25">
      <c r="A10" t="s">
        <v>1016</v>
      </c>
      <c r="B10" t="s">
        <v>0</v>
      </c>
      <c r="C10" t="s">
        <v>1149</v>
      </c>
      <c r="D10" t="s">
        <v>1150</v>
      </c>
      <c r="E10" t="s">
        <v>1017</v>
      </c>
      <c r="F10" t="s">
        <v>1151</v>
      </c>
      <c r="G10" t="s">
        <v>1152</v>
      </c>
      <c r="H10" t="s">
        <v>1018</v>
      </c>
    </row>
    <row r="11" spans="1:8" x14ac:dyDescent="0.25">
      <c r="A11" t="s">
        <v>739</v>
      </c>
      <c r="B11" t="s">
        <v>0</v>
      </c>
      <c r="C11" t="s">
        <v>1153</v>
      </c>
      <c r="D11" t="s">
        <v>1154</v>
      </c>
      <c r="E11" t="s">
        <v>1155</v>
      </c>
      <c r="F11" t="s">
        <v>1156</v>
      </c>
      <c r="G11" t="s">
        <v>1157</v>
      </c>
      <c r="H11" t="s">
        <v>1158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0"/>
  <dimension ref="A1:H11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3" width="13.875" customWidth="1"/>
    <col min="4" max="4" width="11.875" customWidth="1"/>
    <col min="5" max="6" width="13.875" customWidth="1"/>
    <col min="7" max="8" width="11.875" customWidth="1"/>
  </cols>
  <sheetData>
    <row r="1" spans="1:8" x14ac:dyDescent="0.25">
      <c r="A1" t="s">
        <v>31</v>
      </c>
      <c r="B1" t="s">
        <v>3</v>
      </c>
      <c r="C1" t="s">
        <v>1159</v>
      </c>
      <c r="D1" t="s">
        <v>1160</v>
      </c>
      <c r="E1" t="s">
        <v>986</v>
      </c>
      <c r="F1" t="s">
        <v>1161</v>
      </c>
      <c r="G1" t="s">
        <v>1162</v>
      </c>
      <c r="H1" t="s">
        <v>987</v>
      </c>
    </row>
    <row r="2" spans="1:8" x14ac:dyDescent="0.25">
      <c r="A2" t="s">
        <v>43</v>
      </c>
      <c r="B2" t="s">
        <v>0</v>
      </c>
      <c r="C2" t="s">
        <v>1163</v>
      </c>
      <c r="D2" t="s">
        <v>1164</v>
      </c>
      <c r="E2" t="s">
        <v>990</v>
      </c>
      <c r="F2" t="s">
        <v>1165</v>
      </c>
      <c r="G2" t="s">
        <v>1166</v>
      </c>
      <c r="H2" t="s">
        <v>991</v>
      </c>
    </row>
    <row r="3" spans="1:8" x14ac:dyDescent="0.25">
      <c r="A3" t="s">
        <v>144</v>
      </c>
      <c r="B3" t="s">
        <v>0</v>
      </c>
      <c r="C3" t="s">
        <v>1167</v>
      </c>
      <c r="D3" t="s">
        <v>1168</v>
      </c>
      <c r="E3" t="s">
        <v>994</v>
      </c>
      <c r="F3" t="s">
        <v>1169</v>
      </c>
      <c r="G3" t="s">
        <v>1170</v>
      </c>
      <c r="H3" t="s">
        <v>995</v>
      </c>
    </row>
    <row r="4" spans="1:8" x14ac:dyDescent="0.25">
      <c r="A4" t="s">
        <v>777</v>
      </c>
      <c r="B4" t="s">
        <v>0</v>
      </c>
      <c r="C4" t="s">
        <v>1171</v>
      </c>
      <c r="D4" t="s">
        <v>1172</v>
      </c>
      <c r="E4" t="s">
        <v>998</v>
      </c>
      <c r="F4" t="s">
        <v>1173</v>
      </c>
      <c r="G4" t="s">
        <v>1174</v>
      </c>
      <c r="H4" t="s">
        <v>999</v>
      </c>
    </row>
    <row r="5" spans="1:8" x14ac:dyDescent="0.25">
      <c r="A5" t="s">
        <v>153</v>
      </c>
      <c r="B5" t="s">
        <v>0</v>
      </c>
      <c r="C5" t="s">
        <v>1175</v>
      </c>
      <c r="D5" t="s">
        <v>1176</v>
      </c>
      <c r="E5" t="s">
        <v>1002</v>
      </c>
      <c r="F5" t="s">
        <v>1177</v>
      </c>
      <c r="G5" t="s">
        <v>1178</v>
      </c>
      <c r="H5" t="s">
        <v>1003</v>
      </c>
    </row>
    <row r="6" spans="1:8" x14ac:dyDescent="0.25">
      <c r="A6" t="s">
        <v>157</v>
      </c>
      <c r="B6" t="s">
        <v>0</v>
      </c>
      <c r="C6" t="s">
        <v>1179</v>
      </c>
      <c r="D6" t="s">
        <v>1180</v>
      </c>
      <c r="E6" t="s">
        <v>1006</v>
      </c>
      <c r="F6" t="s">
        <v>1181</v>
      </c>
      <c r="G6" t="s">
        <v>1182</v>
      </c>
      <c r="H6" t="s">
        <v>1007</v>
      </c>
    </row>
    <row r="7" spans="1:8" x14ac:dyDescent="0.25">
      <c r="A7" t="s">
        <v>165</v>
      </c>
      <c r="B7" t="s">
        <v>3</v>
      </c>
      <c r="C7" t="s">
        <v>1183</v>
      </c>
      <c r="D7" t="s">
        <v>1184</v>
      </c>
      <c r="E7" t="s">
        <v>1185</v>
      </c>
      <c r="F7" t="s">
        <v>1186</v>
      </c>
      <c r="G7" t="s">
        <v>1187</v>
      </c>
      <c r="H7" t="s">
        <v>1015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1142</v>
      </c>
      <c r="B9" t="s">
        <v>3</v>
      </c>
      <c r="C9" t="s">
        <v>1188</v>
      </c>
      <c r="D9" t="s">
        <v>1189</v>
      </c>
      <c r="E9" t="s">
        <v>1190</v>
      </c>
      <c r="F9" t="s">
        <v>1191</v>
      </c>
      <c r="G9" t="s">
        <v>1192</v>
      </c>
      <c r="H9" t="s">
        <v>1193</v>
      </c>
    </row>
    <row r="10" spans="1:8" x14ac:dyDescent="0.25">
      <c r="A10" t="s">
        <v>1016</v>
      </c>
      <c r="B10" t="s">
        <v>0</v>
      </c>
      <c r="C10" t="s">
        <v>1194</v>
      </c>
      <c r="D10" t="s">
        <v>1195</v>
      </c>
      <c r="E10" t="s">
        <v>1019</v>
      </c>
      <c r="F10" t="s">
        <v>1196</v>
      </c>
      <c r="G10" t="s">
        <v>1197</v>
      </c>
      <c r="H10" t="s">
        <v>1020</v>
      </c>
    </row>
    <row r="11" spans="1:8" x14ac:dyDescent="0.25">
      <c r="A11" t="s">
        <v>739</v>
      </c>
      <c r="B11" t="s">
        <v>0</v>
      </c>
      <c r="C11" t="s">
        <v>1198</v>
      </c>
      <c r="D11" t="s">
        <v>1199</v>
      </c>
      <c r="E11" t="s">
        <v>1200</v>
      </c>
      <c r="F11" t="s">
        <v>1201</v>
      </c>
      <c r="G11" t="s">
        <v>1202</v>
      </c>
      <c r="H11" t="s">
        <v>1203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2"/>
  <dimension ref="A1:K15"/>
  <sheetViews>
    <sheetView workbookViewId="0"/>
  </sheetViews>
  <sheetFormatPr defaultRowHeight="15.75" x14ac:dyDescent="0.25"/>
  <cols>
    <col min="1" max="1" width="42.875" customWidth="1"/>
    <col min="2" max="11" width="10.875" customWidth="1"/>
  </cols>
  <sheetData>
    <row r="1" spans="1:11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A2" t="s">
        <v>31</v>
      </c>
      <c r="B2" t="s">
        <v>0</v>
      </c>
      <c r="C2" t="s">
        <v>0</v>
      </c>
      <c r="D2" t="s">
        <v>1204</v>
      </c>
      <c r="E2" t="s">
        <v>0</v>
      </c>
      <c r="F2" t="s">
        <v>1204</v>
      </c>
      <c r="G2" t="s">
        <v>0</v>
      </c>
      <c r="H2" t="s">
        <v>1204</v>
      </c>
      <c r="I2" t="s">
        <v>0</v>
      </c>
      <c r="J2" t="s">
        <v>0</v>
      </c>
      <c r="K2" t="s">
        <v>1205</v>
      </c>
    </row>
    <row r="3" spans="1:11" x14ac:dyDescent="0.25">
      <c r="A3" t="s">
        <v>43</v>
      </c>
      <c r="B3" t="s">
        <v>0</v>
      </c>
      <c r="C3" t="s">
        <v>0</v>
      </c>
      <c r="D3" t="s">
        <v>1206</v>
      </c>
      <c r="E3" t="s">
        <v>0</v>
      </c>
      <c r="F3" t="s">
        <v>1206</v>
      </c>
      <c r="G3" t="s">
        <v>0</v>
      </c>
      <c r="H3" t="s">
        <v>1206</v>
      </c>
      <c r="I3" t="s">
        <v>0</v>
      </c>
      <c r="J3" t="s">
        <v>0</v>
      </c>
      <c r="K3" t="s">
        <v>1207</v>
      </c>
    </row>
    <row r="4" spans="1:11" x14ac:dyDescent="0.25">
      <c r="A4" t="s">
        <v>144</v>
      </c>
      <c r="B4" t="s">
        <v>0</v>
      </c>
      <c r="C4" t="s">
        <v>0</v>
      </c>
      <c r="D4" t="s">
        <v>1208</v>
      </c>
      <c r="E4" t="s">
        <v>0</v>
      </c>
      <c r="F4" t="s">
        <v>1208</v>
      </c>
      <c r="G4" t="s">
        <v>0</v>
      </c>
      <c r="H4" t="s">
        <v>1208</v>
      </c>
      <c r="I4" t="s">
        <v>0</v>
      </c>
      <c r="J4" t="s">
        <v>0</v>
      </c>
      <c r="K4" t="s">
        <v>1208</v>
      </c>
    </row>
    <row r="5" spans="1:11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</row>
    <row r="6" spans="1:11" x14ac:dyDescent="0.25">
      <c r="A6" t="s">
        <v>148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11" x14ac:dyDescent="0.25">
      <c r="A7" t="s">
        <v>777</v>
      </c>
      <c r="B7" t="s">
        <v>0</v>
      </c>
      <c r="C7" t="s">
        <v>0</v>
      </c>
      <c r="D7" t="s">
        <v>1209</v>
      </c>
      <c r="E7" t="s">
        <v>0</v>
      </c>
      <c r="F7" t="s">
        <v>1210</v>
      </c>
      <c r="G7" t="s">
        <v>0</v>
      </c>
      <c r="H7" t="s">
        <v>1210</v>
      </c>
      <c r="I7" t="s">
        <v>0</v>
      </c>
      <c r="J7" t="s">
        <v>0</v>
      </c>
      <c r="K7" t="s">
        <v>1211</v>
      </c>
    </row>
    <row r="8" spans="1:11" x14ac:dyDescent="0.25">
      <c r="A8" t="s">
        <v>153</v>
      </c>
      <c r="B8" t="s">
        <v>0</v>
      </c>
      <c r="C8" t="s">
        <v>0</v>
      </c>
      <c r="D8" t="s">
        <v>1212</v>
      </c>
      <c r="E8" t="s">
        <v>0</v>
      </c>
      <c r="F8" t="s">
        <v>1207</v>
      </c>
      <c r="G8" t="s">
        <v>0</v>
      </c>
      <c r="H8" t="s">
        <v>1212</v>
      </c>
      <c r="I8" t="s">
        <v>0</v>
      </c>
      <c r="J8" t="s">
        <v>0</v>
      </c>
      <c r="K8" t="s">
        <v>1212</v>
      </c>
    </row>
    <row r="9" spans="1:11" x14ac:dyDescent="0.25">
      <c r="A9" t="s">
        <v>157</v>
      </c>
      <c r="B9" t="s">
        <v>0</v>
      </c>
      <c r="C9" t="s">
        <v>0</v>
      </c>
      <c r="D9" t="s">
        <v>1213</v>
      </c>
      <c r="E9" t="s">
        <v>0</v>
      </c>
      <c r="F9" t="s">
        <v>1214</v>
      </c>
      <c r="G9" t="s">
        <v>0</v>
      </c>
      <c r="H9" t="s">
        <v>1213</v>
      </c>
      <c r="I9" t="s">
        <v>0</v>
      </c>
      <c r="J9" t="s">
        <v>0</v>
      </c>
      <c r="K9" t="s">
        <v>1213</v>
      </c>
    </row>
    <row r="10" spans="1:11" x14ac:dyDescent="0.25">
      <c r="A10" t="s">
        <v>161</v>
      </c>
      <c r="B10" t="s">
        <v>0</v>
      </c>
      <c r="C10" t="s">
        <v>0</v>
      </c>
      <c r="D10" t="s">
        <v>1215</v>
      </c>
      <c r="E10" t="s">
        <v>0</v>
      </c>
      <c r="F10" t="s">
        <v>1216</v>
      </c>
      <c r="G10" t="s">
        <v>0</v>
      </c>
      <c r="H10" t="s">
        <v>1216</v>
      </c>
      <c r="I10" t="s">
        <v>0</v>
      </c>
      <c r="J10" t="s">
        <v>0</v>
      </c>
      <c r="K10" t="s">
        <v>1217</v>
      </c>
    </row>
    <row r="11" spans="1:11" x14ac:dyDescent="0.25">
      <c r="A11" t="s">
        <v>165</v>
      </c>
      <c r="B11" t="s">
        <v>0</v>
      </c>
      <c r="C11" t="s">
        <v>0</v>
      </c>
      <c r="D11" t="s">
        <v>1218</v>
      </c>
      <c r="E11" t="s">
        <v>0</v>
      </c>
      <c r="F11" t="s">
        <v>1219</v>
      </c>
      <c r="G11" t="s">
        <v>0</v>
      </c>
      <c r="H11" t="s">
        <v>1219</v>
      </c>
      <c r="I11" t="s">
        <v>0</v>
      </c>
      <c r="J11" t="s">
        <v>0</v>
      </c>
      <c r="K11" t="s">
        <v>1220</v>
      </c>
    </row>
    <row r="12" spans="1:11" x14ac:dyDescent="0.25">
      <c r="A12" t="s">
        <v>1221</v>
      </c>
      <c r="B12" t="s">
        <v>0</v>
      </c>
      <c r="C12" t="s">
        <v>0</v>
      </c>
      <c r="D12" t="s">
        <v>1222</v>
      </c>
      <c r="E12" t="s">
        <v>0</v>
      </c>
      <c r="F12" t="s">
        <v>1223</v>
      </c>
      <c r="G12" t="s">
        <v>0</v>
      </c>
      <c r="H12" t="s">
        <v>1223</v>
      </c>
      <c r="I12" t="s">
        <v>0</v>
      </c>
      <c r="J12" t="s">
        <v>0</v>
      </c>
      <c r="K12" t="s">
        <v>1223</v>
      </c>
    </row>
    <row r="13" spans="1:11" x14ac:dyDescent="0.25">
      <c r="A13" t="s">
        <v>182</v>
      </c>
      <c r="B13" t="s">
        <v>0</v>
      </c>
      <c r="C13" t="s">
        <v>0</v>
      </c>
      <c r="D13" t="s">
        <v>1210</v>
      </c>
      <c r="E13" t="s">
        <v>0</v>
      </c>
      <c r="F13" t="s">
        <v>1210</v>
      </c>
      <c r="G13" t="s">
        <v>0</v>
      </c>
      <c r="H13" t="s">
        <v>1210</v>
      </c>
      <c r="I13" t="s">
        <v>0</v>
      </c>
      <c r="J13" t="s">
        <v>0</v>
      </c>
      <c r="K13" t="s">
        <v>1209</v>
      </c>
    </row>
    <row r="14" spans="1:11" x14ac:dyDescent="0.25">
      <c r="A14" t="s">
        <v>12</v>
      </c>
      <c r="B14" t="s">
        <v>0</v>
      </c>
      <c r="C14" t="s">
        <v>0</v>
      </c>
      <c r="D14" t="s">
        <v>1214</v>
      </c>
      <c r="E14" t="s">
        <v>0</v>
      </c>
      <c r="F14" t="s">
        <v>1214</v>
      </c>
      <c r="G14" t="s">
        <v>0</v>
      </c>
      <c r="H14" t="s">
        <v>1214</v>
      </c>
      <c r="I14" t="s">
        <v>0</v>
      </c>
      <c r="J14" t="s">
        <v>0</v>
      </c>
      <c r="K14" t="s">
        <v>1224</v>
      </c>
    </row>
    <row r="15" spans="1:11" x14ac:dyDescent="0.25">
      <c r="A15" t="s">
        <v>187</v>
      </c>
      <c r="B15" t="s">
        <v>0</v>
      </c>
      <c r="C15" t="s">
        <v>0</v>
      </c>
      <c r="D15" t="s">
        <v>1225</v>
      </c>
      <c r="E15" t="s">
        <v>0</v>
      </c>
      <c r="F15" t="s">
        <v>1225</v>
      </c>
      <c r="G15" t="s">
        <v>0</v>
      </c>
      <c r="H15" t="s">
        <v>1225</v>
      </c>
      <c r="I15" t="s">
        <v>0</v>
      </c>
      <c r="J15" t="s">
        <v>0</v>
      </c>
      <c r="K15" t="s">
        <v>1225</v>
      </c>
    </row>
  </sheetData>
  <pageMargins left="0.7" right="0.7" top="0.75" bottom="0.75" header="0.3" footer="0.3"/>
  <ignoredErrors>
    <ignoredError sqref="A1:K15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3"/>
  <dimension ref="A1:J4"/>
  <sheetViews>
    <sheetView workbookViewId="0"/>
  </sheetViews>
  <sheetFormatPr defaultRowHeight="15.75" x14ac:dyDescent="0.25"/>
  <cols>
    <col min="1" max="1" width="24.875" customWidth="1"/>
    <col min="2" max="2" width="10.875" customWidth="1"/>
    <col min="3" max="4" width="13.875" customWidth="1"/>
    <col min="5" max="6" width="10.875" customWidth="1"/>
    <col min="7" max="8" width="13.875" customWidth="1"/>
    <col min="9" max="10" width="10.875" customWidth="1"/>
  </cols>
  <sheetData>
    <row r="1" spans="1:10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1112</v>
      </c>
      <c r="D2" t="s">
        <v>1114</v>
      </c>
      <c r="E2" t="s">
        <v>1226</v>
      </c>
      <c r="F2" t="s">
        <v>1227</v>
      </c>
      <c r="G2" t="s">
        <v>1159</v>
      </c>
      <c r="H2" t="s">
        <v>1161</v>
      </c>
      <c r="I2" t="s">
        <v>1228</v>
      </c>
      <c r="J2" t="s">
        <v>1229</v>
      </c>
    </row>
    <row r="3" spans="1:10" x14ac:dyDescent="0.25">
      <c r="A3" t="s">
        <v>35</v>
      </c>
      <c r="B3" t="s">
        <v>0</v>
      </c>
      <c r="C3" t="s">
        <v>1230</v>
      </c>
      <c r="D3" t="s">
        <v>1115</v>
      </c>
      <c r="E3" t="s">
        <v>1231</v>
      </c>
      <c r="F3" t="s">
        <v>1232</v>
      </c>
      <c r="G3" t="s">
        <v>1233</v>
      </c>
      <c r="H3" t="s">
        <v>1162</v>
      </c>
      <c r="I3" t="s">
        <v>1234</v>
      </c>
      <c r="J3" t="s">
        <v>1235</v>
      </c>
    </row>
    <row r="4" spans="1:10" x14ac:dyDescent="0.25">
      <c r="A4" t="s">
        <v>39</v>
      </c>
      <c r="B4" t="s">
        <v>3</v>
      </c>
      <c r="C4" t="s">
        <v>984</v>
      </c>
      <c r="D4" t="s">
        <v>985</v>
      </c>
      <c r="E4" t="s">
        <v>1236</v>
      </c>
      <c r="F4" t="s">
        <v>1237</v>
      </c>
      <c r="G4" t="s">
        <v>986</v>
      </c>
      <c r="H4" t="s">
        <v>1238</v>
      </c>
      <c r="I4" t="s">
        <v>1239</v>
      </c>
      <c r="J4" t="s">
        <v>1240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4"/>
  <dimension ref="A1:J4"/>
  <sheetViews>
    <sheetView workbookViewId="0"/>
  </sheetViews>
  <sheetFormatPr defaultRowHeight="15.75" x14ac:dyDescent="0.25"/>
  <cols>
    <col min="1" max="1" width="21.875" customWidth="1"/>
    <col min="2" max="2" width="10.875" customWidth="1"/>
    <col min="3" max="4" width="11.875" customWidth="1"/>
    <col min="5" max="6" width="10.875" customWidth="1"/>
    <col min="7" max="8" width="11.875" customWidth="1"/>
    <col min="9" max="10" width="10.875" customWidth="1"/>
  </cols>
  <sheetData>
    <row r="1" spans="1:10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1241</v>
      </c>
      <c r="D2" t="s">
        <v>1242</v>
      </c>
      <c r="E2" t="s">
        <v>1243</v>
      </c>
      <c r="F2" t="s">
        <v>1227</v>
      </c>
      <c r="G2" t="s">
        <v>1244</v>
      </c>
      <c r="H2" t="s">
        <v>1245</v>
      </c>
      <c r="I2" t="s">
        <v>1246</v>
      </c>
      <c r="J2" t="s">
        <v>1247</v>
      </c>
    </row>
    <row r="3" spans="1:10" x14ac:dyDescent="0.25">
      <c r="A3" t="s">
        <v>35</v>
      </c>
      <c r="B3" t="s">
        <v>0</v>
      </c>
      <c r="C3" t="s">
        <v>1118</v>
      </c>
      <c r="D3" t="s">
        <v>1248</v>
      </c>
      <c r="E3" t="s">
        <v>1249</v>
      </c>
      <c r="F3" t="s">
        <v>1250</v>
      </c>
      <c r="G3" t="s">
        <v>1164</v>
      </c>
      <c r="H3" t="s">
        <v>1251</v>
      </c>
      <c r="I3" t="s">
        <v>1252</v>
      </c>
      <c r="J3" t="s">
        <v>1253</v>
      </c>
    </row>
    <row r="4" spans="1:10" x14ac:dyDescent="0.25">
      <c r="A4" t="s">
        <v>50</v>
      </c>
      <c r="B4" t="s">
        <v>3</v>
      </c>
      <c r="C4" t="s">
        <v>1254</v>
      </c>
      <c r="D4" t="s">
        <v>1255</v>
      </c>
      <c r="E4" t="s">
        <v>1256</v>
      </c>
      <c r="F4" t="s">
        <v>1257</v>
      </c>
      <c r="G4" t="s">
        <v>1258</v>
      </c>
      <c r="H4" t="s">
        <v>1259</v>
      </c>
      <c r="I4" t="s">
        <v>1260</v>
      </c>
      <c r="J4" t="s">
        <v>1261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6"/>
  <dimension ref="A1:J4"/>
  <sheetViews>
    <sheetView workbookViewId="0"/>
  </sheetViews>
  <sheetFormatPr defaultRowHeight="15.75" x14ac:dyDescent="0.25"/>
  <cols>
    <col min="1" max="1" width="29.875" customWidth="1"/>
    <col min="2" max="2" width="10.875" customWidth="1"/>
    <col min="3" max="4" width="11.875" customWidth="1"/>
    <col min="5" max="5" width="10.875" customWidth="1"/>
    <col min="6" max="8" width="11.875" customWidth="1"/>
    <col min="9" max="10" width="10.875" customWidth="1"/>
  </cols>
  <sheetData>
    <row r="1" spans="1:10" x14ac:dyDescent="0.25">
      <c r="A1" t="s">
        <v>153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1263</v>
      </c>
      <c r="D2" t="s">
        <v>1264</v>
      </c>
      <c r="E2" t="s">
        <v>1265</v>
      </c>
      <c r="F2" t="s">
        <v>1266</v>
      </c>
      <c r="G2" t="s">
        <v>1267</v>
      </c>
      <c r="H2" t="s">
        <v>1268</v>
      </c>
      <c r="I2" t="s">
        <v>1269</v>
      </c>
      <c r="J2" t="s">
        <v>1261</v>
      </c>
    </row>
    <row r="3" spans="1:10" x14ac:dyDescent="0.25">
      <c r="A3" t="s">
        <v>35</v>
      </c>
      <c r="B3" t="s">
        <v>0</v>
      </c>
      <c r="C3" t="s">
        <v>1130</v>
      </c>
      <c r="D3" t="s">
        <v>1132</v>
      </c>
      <c r="E3" t="s">
        <v>1270</v>
      </c>
      <c r="F3" t="s">
        <v>1271</v>
      </c>
      <c r="G3" t="s">
        <v>1176</v>
      </c>
      <c r="H3" t="s">
        <v>1178</v>
      </c>
      <c r="I3" t="s">
        <v>1272</v>
      </c>
      <c r="J3" t="s">
        <v>1262</v>
      </c>
    </row>
    <row r="4" spans="1:10" x14ac:dyDescent="0.25">
      <c r="A4" t="s">
        <v>1273</v>
      </c>
      <c r="B4" t="s">
        <v>3</v>
      </c>
      <c r="C4" t="s">
        <v>1274</v>
      </c>
      <c r="D4" t="s">
        <v>1275</v>
      </c>
      <c r="E4" t="s">
        <v>1276</v>
      </c>
      <c r="F4" t="s">
        <v>1277</v>
      </c>
      <c r="G4" t="s">
        <v>1278</v>
      </c>
      <c r="H4" t="s">
        <v>1279</v>
      </c>
      <c r="I4" t="s">
        <v>1280</v>
      </c>
      <c r="J4" t="s">
        <v>1281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8"/>
  <dimension ref="A1:G37"/>
  <sheetViews>
    <sheetView workbookViewId="0"/>
  </sheetViews>
  <sheetFormatPr defaultRowHeight="15.75" x14ac:dyDescent="0.25"/>
  <cols>
    <col min="1" max="1" width="60.875" customWidth="1"/>
    <col min="2" max="4" width="10.875" customWidth="1"/>
    <col min="5" max="5" width="12.875" customWidth="1"/>
    <col min="6" max="6" width="10.875" customWidth="1"/>
    <col min="7" max="7" width="12.875" customWidth="1"/>
  </cols>
  <sheetData>
    <row r="1" spans="1:7" x14ac:dyDescent="0.25">
      <c r="A1" t="s">
        <v>54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55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5">
      <c r="A3" t="s">
        <v>56</v>
      </c>
      <c r="B3" t="s">
        <v>0</v>
      </c>
      <c r="C3" t="s">
        <v>3</v>
      </c>
      <c r="D3" t="s">
        <v>0</v>
      </c>
      <c r="E3" t="s">
        <v>1285</v>
      </c>
      <c r="F3" t="s">
        <v>3</v>
      </c>
      <c r="G3" t="s">
        <v>746</v>
      </c>
    </row>
    <row r="4" spans="1:7" x14ac:dyDescent="0.25">
      <c r="A4" t="s">
        <v>457</v>
      </c>
      <c r="B4" t="s">
        <v>0</v>
      </c>
      <c r="C4" t="s">
        <v>0</v>
      </c>
      <c r="D4" t="s">
        <v>0</v>
      </c>
      <c r="E4" t="s">
        <v>977</v>
      </c>
      <c r="F4" t="s">
        <v>0</v>
      </c>
      <c r="G4" t="s">
        <v>747</v>
      </c>
    </row>
    <row r="5" spans="1:7" x14ac:dyDescent="0.25">
      <c r="A5" t="s">
        <v>1286</v>
      </c>
      <c r="B5" t="s">
        <v>0</v>
      </c>
      <c r="C5" t="s">
        <v>0</v>
      </c>
      <c r="D5" t="s">
        <v>0</v>
      </c>
      <c r="E5" t="s">
        <v>1287</v>
      </c>
      <c r="F5" t="s">
        <v>0</v>
      </c>
      <c r="G5" t="s">
        <v>748</v>
      </c>
    </row>
    <row r="6" spans="1:7" x14ac:dyDescent="0.25">
      <c r="A6" t="s">
        <v>62</v>
      </c>
      <c r="B6" t="s">
        <v>0</v>
      </c>
      <c r="C6" t="s">
        <v>0</v>
      </c>
      <c r="D6" t="s">
        <v>0</v>
      </c>
      <c r="E6" t="s">
        <v>1288</v>
      </c>
      <c r="F6" t="s">
        <v>0</v>
      </c>
      <c r="G6" t="s">
        <v>749</v>
      </c>
    </row>
    <row r="7" spans="1:7" x14ac:dyDescent="0.25">
      <c r="A7" t="s">
        <v>65</v>
      </c>
      <c r="B7" t="s">
        <v>0</v>
      </c>
      <c r="C7" t="s">
        <v>0</v>
      </c>
      <c r="D7" t="s">
        <v>0</v>
      </c>
      <c r="E7" t="s">
        <v>1289</v>
      </c>
      <c r="F7" t="s">
        <v>0</v>
      </c>
      <c r="G7" t="s">
        <v>750</v>
      </c>
    </row>
    <row r="8" spans="1:7" x14ac:dyDescent="0.25">
      <c r="A8" t="s">
        <v>68</v>
      </c>
      <c r="B8" t="s">
        <v>0</v>
      </c>
      <c r="C8" t="s">
        <v>0</v>
      </c>
      <c r="D8" t="s">
        <v>0</v>
      </c>
      <c r="E8" t="s">
        <v>1290</v>
      </c>
      <c r="F8" t="s">
        <v>0</v>
      </c>
      <c r="G8" t="s">
        <v>751</v>
      </c>
    </row>
    <row r="9" spans="1:7" x14ac:dyDescent="0.25">
      <c r="A9" t="s">
        <v>71</v>
      </c>
      <c r="B9" t="s">
        <v>0</v>
      </c>
      <c r="C9" t="s">
        <v>0</v>
      </c>
      <c r="D9" t="s">
        <v>0</v>
      </c>
      <c r="E9" t="s">
        <v>1291</v>
      </c>
      <c r="F9" t="s">
        <v>0</v>
      </c>
      <c r="G9" t="s">
        <v>752</v>
      </c>
    </row>
    <row r="10" spans="1:7" x14ac:dyDescent="0.25">
      <c r="A10" t="s">
        <v>74</v>
      </c>
      <c r="B10" t="s">
        <v>0</v>
      </c>
      <c r="C10" t="s">
        <v>0</v>
      </c>
      <c r="D10" t="s">
        <v>0</v>
      </c>
      <c r="E10" t="s">
        <v>1292</v>
      </c>
      <c r="F10" t="s">
        <v>0</v>
      </c>
      <c r="G10" t="s">
        <v>753</v>
      </c>
    </row>
    <row r="11" spans="1:7" x14ac:dyDescent="0.25">
      <c r="A11" t="s">
        <v>77</v>
      </c>
      <c r="B11" t="s">
        <v>0</v>
      </c>
      <c r="C11" t="s">
        <v>0</v>
      </c>
      <c r="D11" t="s">
        <v>0</v>
      </c>
      <c r="E11" t="s">
        <v>1293</v>
      </c>
      <c r="F11" t="s">
        <v>0</v>
      </c>
      <c r="G11" t="s">
        <v>754</v>
      </c>
    </row>
    <row r="12" spans="1:7" x14ac:dyDescent="0.25">
      <c r="A12" t="s">
        <v>80</v>
      </c>
      <c r="B12" t="s">
        <v>0</v>
      </c>
      <c r="C12" t="s">
        <v>0</v>
      </c>
      <c r="D12" t="s">
        <v>0</v>
      </c>
      <c r="E12" t="s">
        <v>1294</v>
      </c>
      <c r="F12" t="s">
        <v>0</v>
      </c>
      <c r="G12" t="s">
        <v>755</v>
      </c>
    </row>
    <row r="13" spans="1:7" x14ac:dyDescent="0.25">
      <c r="A13" t="s">
        <v>83</v>
      </c>
      <c r="B13" t="s">
        <v>0</v>
      </c>
      <c r="C13" t="s">
        <v>0</v>
      </c>
      <c r="D13" t="s">
        <v>0</v>
      </c>
      <c r="E13" t="s">
        <v>1295</v>
      </c>
      <c r="F13" t="s">
        <v>0</v>
      </c>
      <c r="G13" t="s">
        <v>756</v>
      </c>
    </row>
    <row r="14" spans="1:7" x14ac:dyDescent="0.25">
      <c r="A14" t="s">
        <v>86</v>
      </c>
      <c r="B14" t="s">
        <v>0</v>
      </c>
      <c r="C14" t="s">
        <v>0</v>
      </c>
      <c r="D14" t="s">
        <v>0</v>
      </c>
      <c r="E14" t="s">
        <v>1296</v>
      </c>
      <c r="F14" t="s">
        <v>0</v>
      </c>
      <c r="G14" t="s">
        <v>757</v>
      </c>
    </row>
    <row r="15" spans="1:7" x14ac:dyDescent="0.25">
      <c r="A15" t="s">
        <v>89</v>
      </c>
      <c r="B15" t="s">
        <v>0</v>
      </c>
      <c r="C15" t="s">
        <v>0</v>
      </c>
      <c r="D15" t="s">
        <v>0</v>
      </c>
      <c r="E15" t="s">
        <v>1297</v>
      </c>
      <c r="F15" t="s">
        <v>0</v>
      </c>
      <c r="G15" t="s">
        <v>758</v>
      </c>
    </row>
    <row r="16" spans="1:7" x14ac:dyDescent="0.25">
      <c r="A16" t="s">
        <v>92</v>
      </c>
      <c r="B16" t="s">
        <v>0</v>
      </c>
      <c r="C16" t="s">
        <v>3</v>
      </c>
      <c r="D16" t="s">
        <v>0</v>
      </c>
      <c r="E16" t="s">
        <v>1298</v>
      </c>
      <c r="F16" t="s">
        <v>3</v>
      </c>
      <c r="G16" t="s">
        <v>759</v>
      </c>
    </row>
    <row r="17" spans="1:7" x14ac:dyDescent="0.25">
      <c r="A17" t="s">
        <v>609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</row>
    <row r="18" spans="1:7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 spans="1:7" x14ac:dyDescent="0.25">
      <c r="A19" t="s">
        <v>97</v>
      </c>
      <c r="B19" t="s">
        <v>0</v>
      </c>
      <c r="C19" t="s">
        <v>3</v>
      </c>
      <c r="D19" t="s">
        <v>0</v>
      </c>
      <c r="E19" t="s">
        <v>1299</v>
      </c>
      <c r="F19" t="s">
        <v>3</v>
      </c>
      <c r="G19" t="s">
        <v>760</v>
      </c>
    </row>
    <row r="20" spans="1:7" x14ac:dyDescent="0.25">
      <c r="A20" t="s">
        <v>100</v>
      </c>
      <c r="B20" t="s">
        <v>0</v>
      </c>
      <c r="C20" t="s">
        <v>0</v>
      </c>
      <c r="D20" t="s">
        <v>0</v>
      </c>
      <c r="E20" t="s">
        <v>1300</v>
      </c>
      <c r="F20" t="s">
        <v>0</v>
      </c>
      <c r="G20" t="s">
        <v>761</v>
      </c>
    </row>
    <row r="21" spans="1:7" x14ac:dyDescent="0.25">
      <c r="A21" t="s">
        <v>103</v>
      </c>
      <c r="B21" t="s">
        <v>0</v>
      </c>
      <c r="C21" t="s">
        <v>0</v>
      </c>
      <c r="D21" t="s">
        <v>0</v>
      </c>
      <c r="E21" t="s">
        <v>1301</v>
      </c>
      <c r="F21" t="s">
        <v>0</v>
      </c>
      <c r="G21" t="s">
        <v>762</v>
      </c>
    </row>
    <row r="22" spans="1:7" x14ac:dyDescent="0.25">
      <c r="A22" t="s">
        <v>105</v>
      </c>
      <c r="B22" t="s">
        <v>0</v>
      </c>
      <c r="C22" t="s">
        <v>0</v>
      </c>
      <c r="D22" t="s">
        <v>0</v>
      </c>
      <c r="E22" t="s">
        <v>1302</v>
      </c>
      <c r="F22" t="s">
        <v>0</v>
      </c>
      <c r="G22" t="s">
        <v>763</v>
      </c>
    </row>
    <row r="23" spans="1:7" x14ac:dyDescent="0.25">
      <c r="A23" t="s">
        <v>108</v>
      </c>
      <c r="B23" t="s">
        <v>0</v>
      </c>
      <c r="C23" t="s">
        <v>0</v>
      </c>
      <c r="D23" t="s">
        <v>0</v>
      </c>
      <c r="E23" t="s">
        <v>1303</v>
      </c>
      <c r="F23" t="s">
        <v>0</v>
      </c>
      <c r="G23" t="s">
        <v>764</v>
      </c>
    </row>
    <row r="24" spans="1:7" x14ac:dyDescent="0.25">
      <c r="A24" t="s">
        <v>111</v>
      </c>
      <c r="B24" t="s">
        <v>0</v>
      </c>
      <c r="C24" t="s">
        <v>0</v>
      </c>
      <c r="D24" t="s">
        <v>0</v>
      </c>
      <c r="E24" t="s">
        <v>1304</v>
      </c>
      <c r="F24" t="s">
        <v>0</v>
      </c>
      <c r="G24" t="s">
        <v>765</v>
      </c>
    </row>
    <row r="25" spans="1:7" x14ac:dyDescent="0.25">
      <c r="A25" t="s">
        <v>103</v>
      </c>
      <c r="B25" t="s">
        <v>0</v>
      </c>
      <c r="C25" t="s">
        <v>0</v>
      </c>
      <c r="D25" t="s">
        <v>0</v>
      </c>
      <c r="E25" t="s">
        <v>1305</v>
      </c>
      <c r="F25" t="s">
        <v>0</v>
      </c>
      <c r="G25" t="s">
        <v>766</v>
      </c>
    </row>
    <row r="26" spans="1:7" x14ac:dyDescent="0.25">
      <c r="A26" t="s">
        <v>116</v>
      </c>
      <c r="B26" t="s">
        <v>0</v>
      </c>
      <c r="C26" t="s">
        <v>0</v>
      </c>
      <c r="D26" t="s">
        <v>0</v>
      </c>
      <c r="E26" t="s">
        <v>1306</v>
      </c>
      <c r="F26" t="s">
        <v>0</v>
      </c>
      <c r="G26" t="s">
        <v>767</v>
      </c>
    </row>
    <row r="27" spans="1:7" x14ac:dyDescent="0.25">
      <c r="A27" t="s">
        <v>122</v>
      </c>
      <c r="B27" t="s">
        <v>0</v>
      </c>
      <c r="C27" t="s">
        <v>0</v>
      </c>
      <c r="D27" t="s">
        <v>0</v>
      </c>
      <c r="E27" t="s">
        <v>1307</v>
      </c>
      <c r="F27" t="s">
        <v>0</v>
      </c>
      <c r="G27" t="s">
        <v>768</v>
      </c>
    </row>
    <row r="28" spans="1:7" x14ac:dyDescent="0.25">
      <c r="A28" t="s">
        <v>125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</row>
    <row r="29" spans="1:7" x14ac:dyDescent="0.25">
      <c r="A29" t="s">
        <v>619</v>
      </c>
      <c r="B29" t="s">
        <v>0</v>
      </c>
      <c r="C29" t="s">
        <v>0</v>
      </c>
      <c r="D29" t="s">
        <v>0</v>
      </c>
      <c r="E29" t="s">
        <v>1077</v>
      </c>
      <c r="F29" t="s">
        <v>0</v>
      </c>
      <c r="G29" t="s">
        <v>769</v>
      </c>
    </row>
    <row r="30" spans="1:7" x14ac:dyDescent="0.25">
      <c r="A30" t="s">
        <v>126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  <row r="31" spans="1:7" x14ac:dyDescent="0.25">
      <c r="A31" t="s">
        <v>976</v>
      </c>
      <c r="B31" t="s">
        <v>0</v>
      </c>
      <c r="C31" t="s">
        <v>0</v>
      </c>
      <c r="D31" t="s">
        <v>0</v>
      </c>
      <c r="E31" t="s">
        <v>977</v>
      </c>
      <c r="F31" t="s">
        <v>0</v>
      </c>
      <c r="G31" t="s">
        <v>977</v>
      </c>
    </row>
    <row r="32" spans="1:7" x14ac:dyDescent="0.25">
      <c r="A32" t="s">
        <v>1308</v>
      </c>
      <c r="B32" t="s">
        <v>0</v>
      </c>
      <c r="C32" t="s">
        <v>0</v>
      </c>
      <c r="D32" t="s">
        <v>0</v>
      </c>
      <c r="E32" t="s">
        <v>482</v>
      </c>
      <c r="F32" t="s">
        <v>0</v>
      </c>
      <c r="G32" t="s">
        <v>771</v>
      </c>
    </row>
    <row r="33" spans="1:7" x14ac:dyDescent="0.25">
      <c r="A33" t="s">
        <v>130</v>
      </c>
      <c r="B33" t="s">
        <v>0</v>
      </c>
      <c r="C33" t="s">
        <v>0</v>
      </c>
      <c r="D33" t="s">
        <v>0</v>
      </c>
      <c r="E33" t="s">
        <v>1073</v>
      </c>
      <c r="F33" t="s">
        <v>0</v>
      </c>
      <c r="G33" t="s">
        <v>772</v>
      </c>
    </row>
    <row r="34" spans="1:7" x14ac:dyDescent="0.25">
      <c r="A34" t="s">
        <v>133</v>
      </c>
      <c r="B34" t="s">
        <v>0</v>
      </c>
      <c r="C34" t="s">
        <v>0</v>
      </c>
      <c r="D34" t="s">
        <v>0</v>
      </c>
      <c r="E34" t="s">
        <v>1074</v>
      </c>
      <c r="F34" t="s">
        <v>0</v>
      </c>
      <c r="G34" t="s">
        <v>773</v>
      </c>
    </row>
    <row r="35" spans="1:7" x14ac:dyDescent="0.25">
      <c r="A35" t="s">
        <v>136</v>
      </c>
      <c r="B35" t="s">
        <v>0</v>
      </c>
      <c r="C35" t="s">
        <v>0</v>
      </c>
      <c r="D35" t="s">
        <v>0</v>
      </c>
      <c r="E35" t="s">
        <v>1075</v>
      </c>
      <c r="F35" t="s">
        <v>0</v>
      </c>
      <c r="G35" t="s">
        <v>774</v>
      </c>
    </row>
    <row r="36" spans="1:7" x14ac:dyDescent="0.25">
      <c r="A36" t="s">
        <v>139</v>
      </c>
      <c r="B36" t="s">
        <v>0</v>
      </c>
      <c r="C36" t="s">
        <v>0</v>
      </c>
      <c r="D36" t="s">
        <v>0</v>
      </c>
      <c r="E36" t="s">
        <v>1076</v>
      </c>
      <c r="F36" t="s">
        <v>0</v>
      </c>
      <c r="G36" t="s">
        <v>775</v>
      </c>
    </row>
    <row r="37" spans="1:7" x14ac:dyDescent="0.25">
      <c r="A37" t="s">
        <v>626</v>
      </c>
      <c r="B37" t="s">
        <v>0</v>
      </c>
      <c r="C37" t="s">
        <v>3</v>
      </c>
      <c r="D37" t="s">
        <v>0</v>
      </c>
      <c r="E37" t="s">
        <v>1298</v>
      </c>
      <c r="F37" t="s">
        <v>3</v>
      </c>
      <c r="G37" t="s">
        <v>759</v>
      </c>
    </row>
  </sheetData>
  <pageMargins left="0.7" right="0.7" top="0.75" bottom="0.75" header="0.3" footer="0.3"/>
  <ignoredErrors>
    <ignoredError sqref="A1:G37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9"/>
  <dimension ref="A1:F25"/>
  <sheetViews>
    <sheetView workbookViewId="0"/>
  </sheetViews>
  <sheetFormatPr defaultRowHeight="15.75" x14ac:dyDescent="0.25"/>
  <cols>
    <col min="1" max="1" width="60.875" customWidth="1"/>
    <col min="2" max="2" width="10.875" customWidth="1"/>
    <col min="3" max="4" width="11.875" customWidth="1"/>
    <col min="5" max="5" width="13.875" customWidth="1"/>
    <col min="6" max="6" width="11.875" customWidth="1"/>
  </cols>
  <sheetData>
    <row r="1" spans="1:6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t="s">
        <v>31</v>
      </c>
      <c r="B2" t="s">
        <v>3</v>
      </c>
      <c r="C2" t="s">
        <v>1309</v>
      </c>
      <c r="D2" t="s">
        <v>1310</v>
      </c>
      <c r="E2" t="s">
        <v>1311</v>
      </c>
      <c r="F2" t="s">
        <v>1312</v>
      </c>
    </row>
    <row r="3" spans="1:6" x14ac:dyDescent="0.25">
      <c r="A3" t="s">
        <v>43</v>
      </c>
      <c r="B3" t="s">
        <v>0</v>
      </c>
      <c r="C3" t="s">
        <v>1313</v>
      </c>
      <c r="D3" t="s">
        <v>1314</v>
      </c>
      <c r="E3" t="s">
        <v>1315</v>
      </c>
      <c r="F3" t="s">
        <v>1316</v>
      </c>
    </row>
    <row r="4" spans="1:6" x14ac:dyDescent="0.25">
      <c r="A4" t="s">
        <v>144</v>
      </c>
      <c r="B4" t="s">
        <v>0</v>
      </c>
      <c r="C4" t="s">
        <v>1317</v>
      </c>
      <c r="D4" t="s">
        <v>1318</v>
      </c>
      <c r="E4" t="s">
        <v>1319</v>
      </c>
      <c r="F4" t="s">
        <v>1320</v>
      </c>
    </row>
    <row r="5" spans="1:6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</row>
    <row r="6" spans="1:6" x14ac:dyDescent="0.25">
      <c r="A6" t="s">
        <v>777</v>
      </c>
      <c r="B6" t="s">
        <v>0</v>
      </c>
      <c r="C6" t="s">
        <v>1321</v>
      </c>
      <c r="D6" t="s">
        <v>1322</v>
      </c>
      <c r="E6" t="s">
        <v>1323</v>
      </c>
      <c r="F6" t="s">
        <v>1324</v>
      </c>
    </row>
    <row r="7" spans="1:6" x14ac:dyDescent="0.25">
      <c r="A7" t="s">
        <v>153</v>
      </c>
      <c r="B7" t="s">
        <v>0</v>
      </c>
      <c r="C7" t="s">
        <v>1325</v>
      </c>
      <c r="D7" t="s">
        <v>1326</v>
      </c>
      <c r="E7" t="s">
        <v>1327</v>
      </c>
      <c r="F7" t="s">
        <v>1328</v>
      </c>
    </row>
    <row r="8" spans="1:6" x14ac:dyDescent="0.25">
      <c r="A8" t="s">
        <v>157</v>
      </c>
      <c r="B8" t="s">
        <v>0</v>
      </c>
      <c r="C8" t="s">
        <v>1329</v>
      </c>
      <c r="D8" t="s">
        <v>1330</v>
      </c>
      <c r="E8" t="s">
        <v>1331</v>
      </c>
      <c r="F8" t="s">
        <v>1332</v>
      </c>
    </row>
    <row r="9" spans="1:6" x14ac:dyDescent="0.25">
      <c r="A9" t="s">
        <v>161</v>
      </c>
      <c r="B9" t="s">
        <v>0</v>
      </c>
      <c r="C9" t="s">
        <v>1333</v>
      </c>
      <c r="D9" t="s">
        <v>1334</v>
      </c>
      <c r="E9" t="s">
        <v>1335</v>
      </c>
      <c r="F9" t="s">
        <v>1336</v>
      </c>
    </row>
    <row r="10" spans="1:6" x14ac:dyDescent="0.25">
      <c r="A10" t="s">
        <v>165</v>
      </c>
      <c r="B10" t="s">
        <v>0</v>
      </c>
      <c r="C10" t="s">
        <v>1337</v>
      </c>
      <c r="D10" t="s">
        <v>1338</v>
      </c>
      <c r="E10" t="s">
        <v>1339</v>
      </c>
      <c r="F10" t="s">
        <v>1340</v>
      </c>
    </row>
    <row r="11" spans="1:6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6" x14ac:dyDescent="0.25">
      <c r="A12" t="s">
        <v>1016</v>
      </c>
      <c r="B12" t="s">
        <v>0</v>
      </c>
      <c r="C12" t="s">
        <v>1341</v>
      </c>
      <c r="D12" t="s">
        <v>1342</v>
      </c>
      <c r="E12" t="s">
        <v>1343</v>
      </c>
      <c r="F12" t="s">
        <v>1344</v>
      </c>
    </row>
    <row r="13" spans="1:6" x14ac:dyDescent="0.25">
      <c r="A13" t="s">
        <v>498</v>
      </c>
      <c r="B13" t="s">
        <v>0</v>
      </c>
      <c r="C13" t="s">
        <v>1345</v>
      </c>
      <c r="D13" t="s">
        <v>1346</v>
      </c>
      <c r="E13" t="s">
        <v>1347</v>
      </c>
      <c r="F13" t="s">
        <v>1348</v>
      </c>
    </row>
    <row r="14" spans="1:6" x14ac:dyDescent="0.25">
      <c r="A14" t="s">
        <v>635</v>
      </c>
      <c r="B14" t="s">
        <v>0</v>
      </c>
      <c r="C14" t="s">
        <v>1349</v>
      </c>
      <c r="D14" t="s">
        <v>1350</v>
      </c>
      <c r="E14" t="s">
        <v>1351</v>
      </c>
      <c r="F14" t="s">
        <v>1352</v>
      </c>
    </row>
    <row r="15" spans="1:6" x14ac:dyDescent="0.25">
      <c r="A15" t="s">
        <v>182</v>
      </c>
      <c r="B15" t="s">
        <v>0</v>
      </c>
      <c r="C15" t="s">
        <v>1353</v>
      </c>
      <c r="D15" t="s">
        <v>1354</v>
      </c>
      <c r="E15" t="s">
        <v>1355</v>
      </c>
      <c r="F15" t="s">
        <v>1356</v>
      </c>
    </row>
    <row r="16" spans="1:6" x14ac:dyDescent="0.25">
      <c r="A16" t="s">
        <v>186</v>
      </c>
      <c r="B16" t="s">
        <v>0</v>
      </c>
      <c r="C16" t="s">
        <v>1357</v>
      </c>
      <c r="D16" t="s">
        <v>1358</v>
      </c>
      <c r="E16" t="s">
        <v>1359</v>
      </c>
      <c r="F16" t="s">
        <v>1360</v>
      </c>
    </row>
    <row r="17" spans="1:6" x14ac:dyDescent="0.25">
      <c r="A17" t="s">
        <v>187</v>
      </c>
      <c r="B17" t="s">
        <v>0</v>
      </c>
      <c r="C17" t="s">
        <v>1361</v>
      </c>
      <c r="D17" t="s">
        <v>1362</v>
      </c>
      <c r="E17" t="s">
        <v>1363</v>
      </c>
      <c r="F17" t="s">
        <v>1364</v>
      </c>
    </row>
    <row r="18" spans="1:6" x14ac:dyDescent="0.25">
      <c r="A18" t="s">
        <v>1041</v>
      </c>
      <c r="B18" t="s">
        <v>0</v>
      </c>
      <c r="C18" t="s">
        <v>1071</v>
      </c>
      <c r="D18" t="s">
        <v>1080</v>
      </c>
      <c r="E18" t="s">
        <v>1365</v>
      </c>
      <c r="F18" t="s">
        <v>1366</v>
      </c>
    </row>
    <row r="19" spans="1:6" x14ac:dyDescent="0.25">
      <c r="A19" t="s">
        <v>641</v>
      </c>
      <c r="B19" t="s">
        <v>3</v>
      </c>
      <c r="C19" t="s">
        <v>1367</v>
      </c>
      <c r="D19" t="s">
        <v>1368</v>
      </c>
      <c r="E19" t="s">
        <v>1369</v>
      </c>
      <c r="F19" t="s">
        <v>1370</v>
      </c>
    </row>
    <row r="20" spans="1:6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  <row r="21" spans="1:6" x14ac:dyDescent="0.25">
      <c r="A21" t="s">
        <v>191</v>
      </c>
      <c r="B21" t="s">
        <v>3</v>
      </c>
      <c r="C21" t="s">
        <v>1371</v>
      </c>
      <c r="D21" t="s">
        <v>1372</v>
      </c>
      <c r="E21" t="s">
        <v>1373</v>
      </c>
      <c r="F21" t="s">
        <v>1374</v>
      </c>
    </row>
    <row r="22" spans="1:6" x14ac:dyDescent="0.25">
      <c r="A22" t="s">
        <v>195</v>
      </c>
      <c r="B22" t="s">
        <v>0</v>
      </c>
      <c r="C22" t="s">
        <v>1375</v>
      </c>
      <c r="D22" t="s">
        <v>1376</v>
      </c>
      <c r="E22" t="s">
        <v>1377</v>
      </c>
      <c r="F22" t="s">
        <v>1378</v>
      </c>
    </row>
    <row r="23" spans="1:6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</row>
    <row r="24" spans="1:6" x14ac:dyDescent="0.25">
      <c r="A24" t="s">
        <v>199</v>
      </c>
      <c r="B24" t="s">
        <v>3</v>
      </c>
      <c r="C24" t="s">
        <v>1371</v>
      </c>
      <c r="D24" t="s">
        <v>1372</v>
      </c>
      <c r="E24" t="s">
        <v>1379</v>
      </c>
      <c r="F24" t="s">
        <v>1380</v>
      </c>
    </row>
    <row r="25" spans="1:6" x14ac:dyDescent="0.25">
      <c r="A25" t="s">
        <v>203</v>
      </c>
      <c r="B25" t="s">
        <v>0</v>
      </c>
      <c r="C25" t="s">
        <v>1381</v>
      </c>
      <c r="D25" t="s">
        <v>1382</v>
      </c>
      <c r="E25" t="s">
        <v>1383</v>
      </c>
      <c r="F25" t="s">
        <v>1384</v>
      </c>
    </row>
  </sheetData>
  <pageMargins left="0.7" right="0.7" top="0.75" bottom="0.75" header="0.3" footer="0.3"/>
  <ignoredErrors>
    <ignoredError sqref="A1:F25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6"/>
  <dimension ref="A1:F3"/>
  <sheetViews>
    <sheetView workbookViewId="0"/>
  </sheetViews>
  <sheetFormatPr defaultRowHeight="15.75" x14ac:dyDescent="0.25"/>
  <cols>
    <col min="1" max="1" width="60.875" customWidth="1"/>
    <col min="2" max="6" width="10.875" customWidth="1"/>
  </cols>
  <sheetData>
    <row r="1" spans="1:6" x14ac:dyDescent="0.25">
      <c r="A1" t="s">
        <v>195</v>
      </c>
      <c r="B1" t="s">
        <v>0</v>
      </c>
      <c r="C1" t="s">
        <v>1375</v>
      </c>
      <c r="D1" t="s">
        <v>1376</v>
      </c>
      <c r="E1" t="s">
        <v>1377</v>
      </c>
      <c r="F1" t="s">
        <v>1378</v>
      </c>
    </row>
    <row r="2" spans="1:6" x14ac:dyDescent="0.25">
      <c r="A2" t="s">
        <v>372</v>
      </c>
      <c r="B2" t="s">
        <v>0</v>
      </c>
      <c r="C2" t="s">
        <v>1385</v>
      </c>
      <c r="D2" t="s">
        <v>1386</v>
      </c>
      <c r="E2" t="s">
        <v>1387</v>
      </c>
      <c r="F2" t="s">
        <v>1388</v>
      </c>
    </row>
    <row r="3" spans="1:6" x14ac:dyDescent="0.25">
      <c r="A3" t="s">
        <v>376</v>
      </c>
      <c r="B3" t="s">
        <v>0</v>
      </c>
      <c r="C3" t="s">
        <v>1381</v>
      </c>
      <c r="D3" t="s">
        <v>1382</v>
      </c>
      <c r="E3" t="s">
        <v>1383</v>
      </c>
      <c r="F3" t="s">
        <v>1384</v>
      </c>
    </row>
  </sheetData>
  <pageMargins left="0.7" right="0.7" top="0.75" bottom="0.75" header="0.3" footer="0.3"/>
  <ignoredErrors>
    <ignoredError sqref="A1:F3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0"/>
  <dimension ref="A1:H11"/>
  <sheetViews>
    <sheetView workbookViewId="0"/>
  </sheetViews>
  <sheetFormatPr defaultRowHeight="15.75" x14ac:dyDescent="0.25"/>
  <cols>
    <col min="1" max="1" width="53.875" customWidth="1"/>
    <col min="2" max="2" width="10.875" customWidth="1"/>
    <col min="3" max="8" width="11.875" customWidth="1"/>
  </cols>
  <sheetData>
    <row r="1" spans="1:8" x14ac:dyDescent="0.25">
      <c r="A1" t="s">
        <v>31</v>
      </c>
      <c r="B1" t="s">
        <v>3</v>
      </c>
      <c r="C1" t="s">
        <v>1389</v>
      </c>
      <c r="D1" t="s">
        <v>1390</v>
      </c>
      <c r="E1" t="s">
        <v>1309</v>
      </c>
      <c r="F1" t="s">
        <v>1391</v>
      </c>
      <c r="G1" t="s">
        <v>1392</v>
      </c>
      <c r="H1" t="s">
        <v>1393</v>
      </c>
    </row>
    <row r="2" spans="1:8" x14ac:dyDescent="0.25">
      <c r="A2" t="s">
        <v>43</v>
      </c>
      <c r="B2" t="s">
        <v>0</v>
      </c>
      <c r="C2" t="s">
        <v>1394</v>
      </c>
      <c r="D2" t="s">
        <v>1395</v>
      </c>
      <c r="E2" t="s">
        <v>1313</v>
      </c>
      <c r="F2" t="s">
        <v>1396</v>
      </c>
      <c r="G2" t="s">
        <v>1397</v>
      </c>
      <c r="H2" t="s">
        <v>1314</v>
      </c>
    </row>
    <row r="3" spans="1:8" x14ac:dyDescent="0.25">
      <c r="A3" t="s">
        <v>144</v>
      </c>
      <c r="B3" t="s">
        <v>0</v>
      </c>
      <c r="C3" t="s">
        <v>1398</v>
      </c>
      <c r="D3" t="s">
        <v>1399</v>
      </c>
      <c r="E3" t="s">
        <v>1317</v>
      </c>
      <c r="F3" t="s">
        <v>1400</v>
      </c>
      <c r="G3" t="s">
        <v>1401</v>
      </c>
      <c r="H3" t="s">
        <v>1318</v>
      </c>
    </row>
    <row r="4" spans="1:8" x14ac:dyDescent="0.25">
      <c r="A4" t="s">
        <v>777</v>
      </c>
      <c r="B4" t="s">
        <v>0</v>
      </c>
      <c r="C4" t="s">
        <v>1402</v>
      </c>
      <c r="D4" t="s">
        <v>1403</v>
      </c>
      <c r="E4" t="s">
        <v>1321</v>
      </c>
      <c r="F4" t="s">
        <v>1404</v>
      </c>
      <c r="G4" t="s">
        <v>1405</v>
      </c>
      <c r="H4" t="s">
        <v>1322</v>
      </c>
    </row>
    <row r="5" spans="1:8" x14ac:dyDescent="0.25">
      <c r="A5" t="s">
        <v>153</v>
      </c>
      <c r="B5" t="s">
        <v>0</v>
      </c>
      <c r="C5" t="s">
        <v>1406</v>
      </c>
      <c r="D5" t="s">
        <v>1407</v>
      </c>
      <c r="E5" t="s">
        <v>1325</v>
      </c>
      <c r="F5" t="s">
        <v>1408</v>
      </c>
      <c r="G5" t="s">
        <v>1409</v>
      </c>
      <c r="H5" t="s">
        <v>1326</v>
      </c>
    </row>
    <row r="6" spans="1:8" x14ac:dyDescent="0.25">
      <c r="A6" t="s">
        <v>157</v>
      </c>
      <c r="B6" t="s">
        <v>0</v>
      </c>
      <c r="C6" t="s">
        <v>1410</v>
      </c>
      <c r="D6" t="s">
        <v>1411</v>
      </c>
      <c r="E6" t="s">
        <v>1329</v>
      </c>
      <c r="F6" t="s">
        <v>1412</v>
      </c>
      <c r="G6" t="s">
        <v>1413</v>
      </c>
      <c r="H6" t="s">
        <v>1330</v>
      </c>
    </row>
    <row r="7" spans="1:8" x14ac:dyDescent="0.25">
      <c r="A7" t="s">
        <v>165</v>
      </c>
      <c r="B7" t="s">
        <v>3</v>
      </c>
      <c r="C7" t="s">
        <v>1414</v>
      </c>
      <c r="D7" t="s">
        <v>1415</v>
      </c>
      <c r="E7" t="s">
        <v>1416</v>
      </c>
      <c r="F7" t="s">
        <v>1417</v>
      </c>
      <c r="G7" t="s">
        <v>1418</v>
      </c>
      <c r="H7" t="s">
        <v>1338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3</v>
      </c>
      <c r="C9" t="s">
        <v>1419</v>
      </c>
      <c r="D9" t="s">
        <v>1420</v>
      </c>
      <c r="E9" t="s">
        <v>1421</v>
      </c>
      <c r="F9" t="s">
        <v>1422</v>
      </c>
      <c r="G9" t="s">
        <v>1423</v>
      </c>
      <c r="H9" t="s">
        <v>1424</v>
      </c>
    </row>
    <row r="10" spans="1:8" x14ac:dyDescent="0.25">
      <c r="A10" t="s">
        <v>936</v>
      </c>
      <c r="B10" t="s">
        <v>0</v>
      </c>
      <c r="C10" t="s">
        <v>1425</v>
      </c>
      <c r="D10" t="s">
        <v>1426</v>
      </c>
      <c r="E10" t="s">
        <v>1341</v>
      </c>
      <c r="F10" t="s">
        <v>1427</v>
      </c>
      <c r="G10" t="s">
        <v>1428</v>
      </c>
      <c r="H10" t="s">
        <v>1342</v>
      </c>
    </row>
    <row r="11" spans="1:8" x14ac:dyDescent="0.25">
      <c r="A11" t="s">
        <v>739</v>
      </c>
      <c r="B11" t="s">
        <v>0</v>
      </c>
      <c r="C11" t="s">
        <v>1429</v>
      </c>
      <c r="D11" t="s">
        <v>1430</v>
      </c>
      <c r="E11" t="s">
        <v>1431</v>
      </c>
      <c r="F11" t="s">
        <v>1432</v>
      </c>
      <c r="G11" t="s">
        <v>1433</v>
      </c>
      <c r="H11" t="s">
        <v>1434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1"/>
  <dimension ref="A1:H11"/>
  <sheetViews>
    <sheetView workbookViewId="0"/>
  </sheetViews>
  <sheetFormatPr defaultRowHeight="15.75" x14ac:dyDescent="0.25"/>
  <cols>
    <col min="1" max="1" width="53.875" customWidth="1"/>
    <col min="2" max="2" width="10.875" customWidth="1"/>
    <col min="3" max="3" width="13.875" customWidth="1"/>
    <col min="4" max="4" width="11.875" customWidth="1"/>
    <col min="5" max="6" width="13.875" customWidth="1"/>
    <col min="7" max="8" width="11.875" customWidth="1"/>
  </cols>
  <sheetData>
    <row r="1" spans="1:8" x14ac:dyDescent="0.25">
      <c r="A1" t="s">
        <v>31</v>
      </c>
      <c r="B1" t="s">
        <v>3</v>
      </c>
      <c r="C1" t="s">
        <v>1435</v>
      </c>
      <c r="D1" t="s">
        <v>1436</v>
      </c>
      <c r="E1" t="s">
        <v>1311</v>
      </c>
      <c r="F1" t="s">
        <v>1437</v>
      </c>
      <c r="G1" t="s">
        <v>1438</v>
      </c>
      <c r="H1" t="s">
        <v>1312</v>
      </c>
    </row>
    <row r="2" spans="1:8" x14ac:dyDescent="0.25">
      <c r="A2" t="s">
        <v>43</v>
      </c>
      <c r="B2" t="s">
        <v>0</v>
      </c>
      <c r="C2" t="s">
        <v>1439</v>
      </c>
      <c r="D2" t="s">
        <v>1440</v>
      </c>
      <c r="E2" t="s">
        <v>1315</v>
      </c>
      <c r="F2" t="s">
        <v>1441</v>
      </c>
      <c r="G2" t="s">
        <v>1442</v>
      </c>
      <c r="H2" t="s">
        <v>1316</v>
      </c>
    </row>
    <row r="3" spans="1:8" x14ac:dyDescent="0.25">
      <c r="A3" t="s">
        <v>144</v>
      </c>
      <c r="B3" t="s">
        <v>0</v>
      </c>
      <c r="C3" t="s">
        <v>1443</v>
      </c>
      <c r="D3" t="s">
        <v>1444</v>
      </c>
      <c r="E3" t="s">
        <v>1319</v>
      </c>
      <c r="F3" t="s">
        <v>1445</v>
      </c>
      <c r="G3" t="s">
        <v>1446</v>
      </c>
      <c r="H3" t="s">
        <v>1320</v>
      </c>
    </row>
    <row r="4" spans="1:8" x14ac:dyDescent="0.25">
      <c r="A4" t="s">
        <v>777</v>
      </c>
      <c r="B4" t="s">
        <v>0</v>
      </c>
      <c r="C4" t="s">
        <v>1447</v>
      </c>
      <c r="D4" t="s">
        <v>1448</v>
      </c>
      <c r="E4" t="s">
        <v>1323</v>
      </c>
      <c r="F4" t="s">
        <v>1449</v>
      </c>
      <c r="G4" t="s">
        <v>1450</v>
      </c>
      <c r="H4" t="s">
        <v>1324</v>
      </c>
    </row>
    <row r="5" spans="1:8" x14ac:dyDescent="0.25">
      <c r="A5" t="s">
        <v>153</v>
      </c>
      <c r="B5" t="s">
        <v>0</v>
      </c>
      <c r="C5" t="s">
        <v>1451</v>
      </c>
      <c r="D5" t="s">
        <v>1452</v>
      </c>
      <c r="E5" t="s">
        <v>1327</v>
      </c>
      <c r="F5" t="s">
        <v>1453</v>
      </c>
      <c r="G5" t="s">
        <v>1454</v>
      </c>
      <c r="H5" t="s">
        <v>1328</v>
      </c>
    </row>
    <row r="6" spans="1:8" x14ac:dyDescent="0.25">
      <c r="A6" t="s">
        <v>157</v>
      </c>
      <c r="B6" t="s">
        <v>0</v>
      </c>
      <c r="C6" t="s">
        <v>1455</v>
      </c>
      <c r="D6" t="s">
        <v>1072</v>
      </c>
      <c r="E6" t="s">
        <v>1331</v>
      </c>
      <c r="F6" t="s">
        <v>1456</v>
      </c>
      <c r="G6" t="s">
        <v>1457</v>
      </c>
      <c r="H6" t="s">
        <v>1332</v>
      </c>
    </row>
    <row r="7" spans="1:8" x14ac:dyDescent="0.25">
      <c r="A7" t="s">
        <v>165</v>
      </c>
      <c r="B7" t="s">
        <v>3</v>
      </c>
      <c r="C7" t="s">
        <v>1458</v>
      </c>
      <c r="D7" t="s">
        <v>1459</v>
      </c>
      <c r="E7" t="s">
        <v>1460</v>
      </c>
      <c r="F7" t="s">
        <v>1461</v>
      </c>
      <c r="G7" t="s">
        <v>1462</v>
      </c>
      <c r="H7" t="s">
        <v>1340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398</v>
      </c>
      <c r="B9" t="s">
        <v>3</v>
      </c>
      <c r="C9" t="s">
        <v>1463</v>
      </c>
      <c r="D9" t="s">
        <v>1464</v>
      </c>
      <c r="E9" t="s">
        <v>1465</v>
      </c>
      <c r="F9" t="s">
        <v>1466</v>
      </c>
      <c r="G9" t="s">
        <v>1467</v>
      </c>
      <c r="H9" t="s">
        <v>1468</v>
      </c>
    </row>
    <row r="10" spans="1:8" x14ac:dyDescent="0.25">
      <c r="A10" t="s">
        <v>936</v>
      </c>
      <c r="B10" t="s">
        <v>0</v>
      </c>
      <c r="C10" t="s">
        <v>1469</v>
      </c>
      <c r="D10" t="s">
        <v>1470</v>
      </c>
      <c r="E10" t="s">
        <v>1343</v>
      </c>
      <c r="F10" t="s">
        <v>1471</v>
      </c>
      <c r="G10" t="s">
        <v>1472</v>
      </c>
      <c r="H10" t="s">
        <v>1344</v>
      </c>
    </row>
    <row r="11" spans="1:8" x14ac:dyDescent="0.25">
      <c r="A11" t="s">
        <v>739</v>
      </c>
      <c r="B11" t="s">
        <v>0</v>
      </c>
      <c r="C11" t="s">
        <v>1473</v>
      </c>
      <c r="D11" t="s">
        <v>1474</v>
      </c>
      <c r="E11" t="s">
        <v>1475</v>
      </c>
      <c r="F11" t="s">
        <v>1476</v>
      </c>
      <c r="G11" t="s">
        <v>1477</v>
      </c>
      <c r="H11" t="s">
        <v>1478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3"/>
  <dimension ref="A1:K15"/>
  <sheetViews>
    <sheetView workbookViewId="0"/>
  </sheetViews>
  <sheetFormatPr defaultRowHeight="15.75" x14ac:dyDescent="0.25"/>
  <cols>
    <col min="1" max="1" width="42.875" customWidth="1"/>
    <col min="2" max="11" width="10.875" customWidth="1"/>
  </cols>
  <sheetData>
    <row r="1" spans="1:11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A2" t="s">
        <v>31</v>
      </c>
      <c r="B2" t="s">
        <v>0</v>
      </c>
      <c r="C2" t="s">
        <v>0</v>
      </c>
      <c r="D2" t="s">
        <v>1204</v>
      </c>
      <c r="E2" t="s">
        <v>0</v>
      </c>
      <c r="F2" t="s">
        <v>1204</v>
      </c>
      <c r="G2" t="s">
        <v>0</v>
      </c>
      <c r="H2" t="s">
        <v>1204</v>
      </c>
      <c r="I2" t="s">
        <v>0</v>
      </c>
      <c r="J2" t="s">
        <v>0</v>
      </c>
      <c r="K2" t="s">
        <v>1205</v>
      </c>
    </row>
    <row r="3" spans="1:11" x14ac:dyDescent="0.25">
      <c r="A3" t="s">
        <v>43</v>
      </c>
      <c r="B3" t="s">
        <v>0</v>
      </c>
      <c r="C3" t="s">
        <v>0</v>
      </c>
      <c r="D3" t="s">
        <v>1206</v>
      </c>
      <c r="E3" t="s">
        <v>0</v>
      </c>
      <c r="F3" t="s">
        <v>1206</v>
      </c>
      <c r="G3" t="s">
        <v>0</v>
      </c>
      <c r="H3" t="s">
        <v>1206</v>
      </c>
      <c r="I3" t="s">
        <v>0</v>
      </c>
      <c r="J3" t="s">
        <v>0</v>
      </c>
      <c r="K3" t="s">
        <v>1207</v>
      </c>
    </row>
    <row r="4" spans="1:11" x14ac:dyDescent="0.25">
      <c r="A4" t="s">
        <v>144</v>
      </c>
      <c r="B4" t="s">
        <v>0</v>
      </c>
      <c r="C4" t="s">
        <v>0</v>
      </c>
      <c r="D4" t="s">
        <v>1208</v>
      </c>
      <c r="E4" t="s">
        <v>0</v>
      </c>
      <c r="F4" t="s">
        <v>1208</v>
      </c>
      <c r="G4" t="s">
        <v>0</v>
      </c>
      <c r="H4" t="s">
        <v>1208</v>
      </c>
      <c r="I4" t="s">
        <v>0</v>
      </c>
      <c r="J4" t="s">
        <v>0</v>
      </c>
      <c r="K4" t="s">
        <v>1208</v>
      </c>
    </row>
    <row r="5" spans="1:11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</row>
    <row r="6" spans="1:11" x14ac:dyDescent="0.25">
      <c r="A6" t="s">
        <v>148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11" x14ac:dyDescent="0.25">
      <c r="A7" t="s">
        <v>777</v>
      </c>
      <c r="B7" t="s">
        <v>0</v>
      </c>
      <c r="C7" t="s">
        <v>0</v>
      </c>
      <c r="D7" t="s">
        <v>1479</v>
      </c>
      <c r="E7" t="s">
        <v>0</v>
      </c>
      <c r="F7" t="s">
        <v>1211</v>
      </c>
      <c r="G7" t="s">
        <v>0</v>
      </c>
      <c r="H7" t="s">
        <v>1211</v>
      </c>
      <c r="I7" t="s">
        <v>0</v>
      </c>
      <c r="J7" t="s">
        <v>0</v>
      </c>
      <c r="K7" t="s">
        <v>1479</v>
      </c>
    </row>
    <row r="8" spans="1:11" x14ac:dyDescent="0.25">
      <c r="A8" t="s">
        <v>153</v>
      </c>
      <c r="B8" t="s">
        <v>0</v>
      </c>
      <c r="C8" t="s">
        <v>0</v>
      </c>
      <c r="D8" t="s">
        <v>1212</v>
      </c>
      <c r="E8" t="s">
        <v>0</v>
      </c>
      <c r="F8" t="s">
        <v>1212</v>
      </c>
      <c r="G8" t="s">
        <v>0</v>
      </c>
      <c r="H8" t="s">
        <v>1212</v>
      </c>
      <c r="I8" t="s">
        <v>0</v>
      </c>
      <c r="J8" t="s">
        <v>0</v>
      </c>
      <c r="K8" t="s">
        <v>1480</v>
      </c>
    </row>
    <row r="9" spans="1:11" x14ac:dyDescent="0.25">
      <c r="A9" t="s">
        <v>157</v>
      </c>
      <c r="B9" t="s">
        <v>0</v>
      </c>
      <c r="C9" t="s">
        <v>0</v>
      </c>
      <c r="D9" t="s">
        <v>1213</v>
      </c>
      <c r="E9" t="s">
        <v>0</v>
      </c>
      <c r="F9" t="s">
        <v>1213</v>
      </c>
      <c r="G9" t="s">
        <v>0</v>
      </c>
      <c r="H9" t="s">
        <v>1213</v>
      </c>
      <c r="I9" t="s">
        <v>0</v>
      </c>
      <c r="J9" t="s">
        <v>0</v>
      </c>
      <c r="K9" t="s">
        <v>1213</v>
      </c>
    </row>
    <row r="10" spans="1:11" x14ac:dyDescent="0.25">
      <c r="A10" t="s">
        <v>161</v>
      </c>
      <c r="B10" t="s">
        <v>0</v>
      </c>
      <c r="C10" t="s">
        <v>0</v>
      </c>
      <c r="D10" t="s">
        <v>1481</v>
      </c>
      <c r="E10" t="s">
        <v>0</v>
      </c>
      <c r="F10" t="s">
        <v>1217</v>
      </c>
      <c r="G10" t="s">
        <v>0</v>
      </c>
      <c r="H10" t="s">
        <v>1217</v>
      </c>
      <c r="I10" t="s">
        <v>0</v>
      </c>
      <c r="J10" t="s">
        <v>0</v>
      </c>
      <c r="K10" t="s">
        <v>1217</v>
      </c>
    </row>
    <row r="11" spans="1:11" x14ac:dyDescent="0.25">
      <c r="A11" t="s">
        <v>165</v>
      </c>
      <c r="B11" t="s">
        <v>0</v>
      </c>
      <c r="C11" t="s">
        <v>0</v>
      </c>
      <c r="D11" t="s">
        <v>1482</v>
      </c>
      <c r="E11" t="s">
        <v>0</v>
      </c>
      <c r="F11" t="s">
        <v>1220</v>
      </c>
      <c r="G11" t="s">
        <v>0</v>
      </c>
      <c r="H11" t="s">
        <v>1220</v>
      </c>
      <c r="I11" t="s">
        <v>0</v>
      </c>
      <c r="J11" t="s">
        <v>0</v>
      </c>
      <c r="K11" t="s">
        <v>1220</v>
      </c>
    </row>
    <row r="12" spans="1:11" x14ac:dyDescent="0.25">
      <c r="A12" t="s">
        <v>1221</v>
      </c>
      <c r="B12" t="s">
        <v>0</v>
      </c>
      <c r="C12" t="s">
        <v>0</v>
      </c>
      <c r="D12" t="s">
        <v>1483</v>
      </c>
      <c r="E12" t="s">
        <v>0</v>
      </c>
      <c r="F12" t="s">
        <v>1222</v>
      </c>
      <c r="G12" t="s">
        <v>0</v>
      </c>
      <c r="H12" t="s">
        <v>1483</v>
      </c>
      <c r="I12" t="s">
        <v>0</v>
      </c>
      <c r="J12" t="s">
        <v>0</v>
      </c>
      <c r="K12" t="s">
        <v>1223</v>
      </c>
    </row>
    <row r="13" spans="1:11" x14ac:dyDescent="0.25">
      <c r="A13" t="s">
        <v>182</v>
      </c>
      <c r="B13" t="s">
        <v>0</v>
      </c>
      <c r="C13" t="s">
        <v>0</v>
      </c>
      <c r="D13" t="s">
        <v>1209</v>
      </c>
      <c r="E13" t="s">
        <v>0</v>
      </c>
      <c r="F13" t="s">
        <v>1484</v>
      </c>
      <c r="G13" t="s">
        <v>0</v>
      </c>
      <c r="H13" t="s">
        <v>1210</v>
      </c>
      <c r="I13" t="s">
        <v>0</v>
      </c>
      <c r="J13" t="s">
        <v>0</v>
      </c>
      <c r="K13" t="s">
        <v>1209</v>
      </c>
    </row>
    <row r="14" spans="1:11" x14ac:dyDescent="0.25">
      <c r="A14" t="s">
        <v>12</v>
      </c>
      <c r="B14" t="s">
        <v>0</v>
      </c>
      <c r="C14" t="s">
        <v>0</v>
      </c>
      <c r="D14" t="s">
        <v>1214</v>
      </c>
      <c r="E14" t="s">
        <v>0</v>
      </c>
      <c r="F14" t="s">
        <v>1485</v>
      </c>
      <c r="G14" t="s">
        <v>0</v>
      </c>
      <c r="H14" t="s">
        <v>1214</v>
      </c>
      <c r="I14" t="s">
        <v>0</v>
      </c>
      <c r="J14" t="s">
        <v>0</v>
      </c>
      <c r="K14" t="s">
        <v>1224</v>
      </c>
    </row>
    <row r="15" spans="1:11" x14ac:dyDescent="0.25">
      <c r="A15" t="s">
        <v>187</v>
      </c>
      <c r="B15" t="s">
        <v>0</v>
      </c>
      <c r="C15" t="s">
        <v>0</v>
      </c>
      <c r="D15" t="s">
        <v>1486</v>
      </c>
      <c r="E15" t="s">
        <v>0</v>
      </c>
      <c r="F15" t="s">
        <v>1225</v>
      </c>
      <c r="G15" t="s">
        <v>0</v>
      </c>
      <c r="H15" t="s">
        <v>1225</v>
      </c>
      <c r="I15" t="s">
        <v>0</v>
      </c>
      <c r="J15" t="s">
        <v>0</v>
      </c>
      <c r="K15" t="s">
        <v>1225</v>
      </c>
    </row>
  </sheetData>
  <pageMargins left="0.7" right="0.7" top="0.75" bottom="0.75" header="0.3" footer="0.3"/>
  <ignoredErrors>
    <ignoredError sqref="A1:K15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4"/>
  <dimension ref="A1:J4"/>
  <sheetViews>
    <sheetView workbookViewId="0"/>
  </sheetViews>
  <sheetFormatPr defaultRowHeight="15.75" x14ac:dyDescent="0.25"/>
  <cols>
    <col min="1" max="1" width="24.875" customWidth="1"/>
    <col min="2" max="2" width="10.875" customWidth="1"/>
    <col min="3" max="4" width="11.875" customWidth="1"/>
    <col min="5" max="6" width="10.875" customWidth="1"/>
    <col min="7" max="8" width="13.875" customWidth="1"/>
    <col min="9" max="10" width="10.875" customWidth="1"/>
  </cols>
  <sheetData>
    <row r="1" spans="1:10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1389</v>
      </c>
      <c r="D2" t="s">
        <v>1391</v>
      </c>
      <c r="E2" t="s">
        <v>1487</v>
      </c>
      <c r="F2" t="s">
        <v>1277</v>
      </c>
      <c r="G2" t="s">
        <v>1435</v>
      </c>
      <c r="H2" t="s">
        <v>1437</v>
      </c>
      <c r="I2" t="s">
        <v>1488</v>
      </c>
      <c r="J2" t="s">
        <v>1489</v>
      </c>
    </row>
    <row r="3" spans="1:10" x14ac:dyDescent="0.25">
      <c r="A3" t="s">
        <v>35</v>
      </c>
      <c r="B3" t="s">
        <v>0</v>
      </c>
      <c r="C3" t="s">
        <v>1490</v>
      </c>
      <c r="D3" t="s">
        <v>1392</v>
      </c>
      <c r="E3" t="s">
        <v>1491</v>
      </c>
      <c r="F3" t="s">
        <v>1492</v>
      </c>
      <c r="G3" t="s">
        <v>1493</v>
      </c>
      <c r="H3" t="s">
        <v>1438</v>
      </c>
      <c r="I3" t="s">
        <v>1494</v>
      </c>
      <c r="J3" t="s">
        <v>1495</v>
      </c>
    </row>
    <row r="4" spans="1:10" x14ac:dyDescent="0.25">
      <c r="A4" t="s">
        <v>39</v>
      </c>
      <c r="B4" t="s">
        <v>3</v>
      </c>
      <c r="C4" t="s">
        <v>1309</v>
      </c>
      <c r="D4" t="s">
        <v>1310</v>
      </c>
      <c r="E4" t="s">
        <v>1496</v>
      </c>
      <c r="F4" t="s">
        <v>1497</v>
      </c>
      <c r="G4" t="s">
        <v>1311</v>
      </c>
      <c r="H4" t="s">
        <v>1498</v>
      </c>
      <c r="I4" t="s">
        <v>1499</v>
      </c>
      <c r="J4" t="s">
        <v>1500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5"/>
  <dimension ref="A1:J4"/>
  <sheetViews>
    <sheetView workbookViewId="0"/>
  </sheetViews>
  <sheetFormatPr defaultRowHeight="15.75" x14ac:dyDescent="0.25"/>
  <cols>
    <col min="1" max="1" width="21.875" customWidth="1"/>
    <col min="2" max="2" width="10.875" customWidth="1"/>
    <col min="3" max="4" width="11.875" customWidth="1"/>
    <col min="5" max="6" width="10.875" customWidth="1"/>
    <col min="7" max="8" width="11.875" customWidth="1"/>
    <col min="9" max="10" width="10.875" customWidth="1"/>
  </cols>
  <sheetData>
    <row r="1" spans="1:10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1501</v>
      </c>
      <c r="D2" t="s">
        <v>1502</v>
      </c>
      <c r="E2" t="s">
        <v>1503</v>
      </c>
      <c r="F2" t="s">
        <v>1504</v>
      </c>
      <c r="G2" t="s">
        <v>1505</v>
      </c>
      <c r="H2" t="s">
        <v>1506</v>
      </c>
      <c r="I2" t="s">
        <v>1507</v>
      </c>
      <c r="J2" t="s">
        <v>1508</v>
      </c>
    </row>
    <row r="3" spans="1:10" x14ac:dyDescent="0.25">
      <c r="A3" t="s">
        <v>35</v>
      </c>
      <c r="B3" t="s">
        <v>0</v>
      </c>
      <c r="C3" t="s">
        <v>1395</v>
      </c>
      <c r="D3" t="s">
        <v>1509</v>
      </c>
      <c r="E3" t="s">
        <v>1510</v>
      </c>
      <c r="F3" t="s">
        <v>1284</v>
      </c>
      <c r="G3" t="s">
        <v>1440</v>
      </c>
      <c r="H3" t="s">
        <v>1511</v>
      </c>
      <c r="I3" t="s">
        <v>1512</v>
      </c>
      <c r="J3" t="s">
        <v>1513</v>
      </c>
    </row>
    <row r="4" spans="1:10" x14ac:dyDescent="0.25">
      <c r="A4" t="s">
        <v>50</v>
      </c>
      <c r="B4" t="s">
        <v>3</v>
      </c>
      <c r="C4" t="s">
        <v>1514</v>
      </c>
      <c r="D4" t="s">
        <v>1515</v>
      </c>
      <c r="E4" t="s">
        <v>1516</v>
      </c>
      <c r="F4" t="s">
        <v>1517</v>
      </c>
      <c r="G4" t="s">
        <v>1518</v>
      </c>
      <c r="H4" t="s">
        <v>1519</v>
      </c>
      <c r="I4" t="s">
        <v>1520</v>
      </c>
      <c r="J4" t="s">
        <v>1521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7"/>
  <dimension ref="A1:J4"/>
  <sheetViews>
    <sheetView workbookViewId="0"/>
  </sheetViews>
  <sheetFormatPr defaultRowHeight="15.75" x14ac:dyDescent="0.25"/>
  <cols>
    <col min="1" max="1" width="29.875" customWidth="1"/>
    <col min="2" max="2" width="10.875" customWidth="1"/>
    <col min="3" max="4" width="11.875" customWidth="1"/>
    <col min="5" max="6" width="10.875" customWidth="1"/>
    <col min="7" max="8" width="11.875" customWidth="1"/>
    <col min="9" max="10" width="10.875" customWidth="1"/>
  </cols>
  <sheetData>
    <row r="1" spans="1:10" x14ac:dyDescent="0.25">
      <c r="A1" t="s">
        <v>153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5">
      <c r="A2" t="s">
        <v>6</v>
      </c>
      <c r="B2" t="s">
        <v>3</v>
      </c>
      <c r="C2" t="s">
        <v>1522</v>
      </c>
      <c r="D2" t="s">
        <v>1523</v>
      </c>
      <c r="E2" t="s">
        <v>1524</v>
      </c>
      <c r="F2" t="s">
        <v>1525</v>
      </c>
      <c r="G2" t="s">
        <v>1526</v>
      </c>
      <c r="H2" t="s">
        <v>1527</v>
      </c>
      <c r="I2" t="s">
        <v>1528</v>
      </c>
      <c r="J2" t="s">
        <v>1283</v>
      </c>
    </row>
    <row r="3" spans="1:10" x14ac:dyDescent="0.25">
      <c r="A3" t="s">
        <v>35</v>
      </c>
      <c r="B3" t="s">
        <v>0</v>
      </c>
      <c r="C3" t="s">
        <v>1407</v>
      </c>
      <c r="D3" t="s">
        <v>1409</v>
      </c>
      <c r="E3" t="s">
        <v>1529</v>
      </c>
      <c r="F3" t="s">
        <v>1530</v>
      </c>
      <c r="G3" t="s">
        <v>1452</v>
      </c>
      <c r="H3" t="s">
        <v>1454</v>
      </c>
      <c r="I3" t="s">
        <v>1531</v>
      </c>
      <c r="J3" t="s">
        <v>1532</v>
      </c>
    </row>
    <row r="4" spans="1:10" x14ac:dyDescent="0.25">
      <c r="A4" t="s">
        <v>1273</v>
      </c>
      <c r="B4" t="s">
        <v>3</v>
      </c>
      <c r="C4" t="s">
        <v>1533</v>
      </c>
      <c r="D4" t="s">
        <v>1534</v>
      </c>
      <c r="E4" t="s">
        <v>1535</v>
      </c>
      <c r="F4" t="s">
        <v>1536</v>
      </c>
      <c r="G4" t="s">
        <v>1537</v>
      </c>
      <c r="H4" t="s">
        <v>1538</v>
      </c>
      <c r="I4" t="s">
        <v>1539</v>
      </c>
      <c r="J4" t="s">
        <v>1540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7"/>
  <dimension ref="A1:G37"/>
  <sheetViews>
    <sheetView workbookViewId="0"/>
  </sheetViews>
  <sheetFormatPr defaultRowHeight="15.75" x14ac:dyDescent="0.25"/>
  <cols>
    <col min="1" max="1" width="60.875" customWidth="1"/>
    <col min="2" max="4" width="10.875" customWidth="1"/>
    <col min="5" max="5" width="12.875" customWidth="1"/>
    <col min="6" max="6" width="10.875" customWidth="1"/>
    <col min="7" max="7" width="12.875" customWidth="1"/>
  </cols>
  <sheetData>
    <row r="1" spans="1:7" x14ac:dyDescent="0.25">
      <c r="A1" t="s">
        <v>54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t="s">
        <v>55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x14ac:dyDescent="0.25">
      <c r="A3" t="s">
        <v>56</v>
      </c>
      <c r="B3" t="s">
        <v>0</v>
      </c>
      <c r="C3" t="s">
        <v>3</v>
      </c>
      <c r="D3" t="s">
        <v>0</v>
      </c>
      <c r="E3" t="s">
        <v>1541</v>
      </c>
      <c r="F3" t="s">
        <v>3</v>
      </c>
      <c r="G3" t="s">
        <v>1542</v>
      </c>
    </row>
    <row r="4" spans="1:7" x14ac:dyDescent="0.25">
      <c r="A4" t="s">
        <v>457</v>
      </c>
      <c r="B4" t="s">
        <v>0</v>
      </c>
      <c r="C4" t="s">
        <v>0</v>
      </c>
      <c r="D4" t="s">
        <v>0</v>
      </c>
      <c r="E4" t="s">
        <v>1543</v>
      </c>
      <c r="F4" t="s">
        <v>0</v>
      </c>
      <c r="G4" t="s">
        <v>747</v>
      </c>
    </row>
    <row r="5" spans="1:7" x14ac:dyDescent="0.25">
      <c r="A5" t="s">
        <v>1286</v>
      </c>
      <c r="B5" t="s">
        <v>0</v>
      </c>
      <c r="C5" t="s">
        <v>0</v>
      </c>
      <c r="D5" t="s">
        <v>0</v>
      </c>
      <c r="E5" t="s">
        <v>1544</v>
      </c>
      <c r="F5" t="s">
        <v>0</v>
      </c>
      <c r="G5" t="s">
        <v>748</v>
      </c>
    </row>
    <row r="6" spans="1:7" x14ac:dyDescent="0.25">
      <c r="A6" t="s">
        <v>62</v>
      </c>
      <c r="B6" t="s">
        <v>0</v>
      </c>
      <c r="C6" t="s">
        <v>0</v>
      </c>
      <c r="D6" t="s">
        <v>0</v>
      </c>
      <c r="E6" t="s">
        <v>1545</v>
      </c>
      <c r="F6" t="s">
        <v>0</v>
      </c>
      <c r="G6" t="s">
        <v>749</v>
      </c>
    </row>
    <row r="7" spans="1:7" x14ac:dyDescent="0.25">
      <c r="A7" t="s">
        <v>65</v>
      </c>
      <c r="B7" t="s">
        <v>0</v>
      </c>
      <c r="C7" t="s">
        <v>0</v>
      </c>
      <c r="D7" t="s">
        <v>0</v>
      </c>
      <c r="E7" t="s">
        <v>1546</v>
      </c>
      <c r="F7" t="s">
        <v>0</v>
      </c>
      <c r="G7" t="s">
        <v>750</v>
      </c>
    </row>
    <row r="8" spans="1:7" x14ac:dyDescent="0.25">
      <c r="A8" t="s">
        <v>68</v>
      </c>
      <c r="B8" t="s">
        <v>0</v>
      </c>
      <c r="C8" t="s">
        <v>0</v>
      </c>
      <c r="D8" t="s">
        <v>0</v>
      </c>
      <c r="E8" t="s">
        <v>1547</v>
      </c>
      <c r="F8" t="s">
        <v>0</v>
      </c>
      <c r="G8" t="s">
        <v>751</v>
      </c>
    </row>
    <row r="9" spans="1:7" x14ac:dyDescent="0.25">
      <c r="A9" t="s">
        <v>71</v>
      </c>
      <c r="B9" t="s">
        <v>0</v>
      </c>
      <c r="C9" t="s">
        <v>0</v>
      </c>
      <c r="D9" t="s">
        <v>0</v>
      </c>
      <c r="E9" t="s">
        <v>1548</v>
      </c>
      <c r="F9" t="s">
        <v>0</v>
      </c>
      <c r="G9" t="s">
        <v>752</v>
      </c>
    </row>
    <row r="10" spans="1:7" x14ac:dyDescent="0.25">
      <c r="A10" t="s">
        <v>74</v>
      </c>
      <c r="B10" t="s">
        <v>0</v>
      </c>
      <c r="C10" t="s">
        <v>0</v>
      </c>
      <c r="D10" t="s">
        <v>0</v>
      </c>
      <c r="E10" t="s">
        <v>1549</v>
      </c>
      <c r="F10" t="s">
        <v>0</v>
      </c>
      <c r="G10" t="s">
        <v>753</v>
      </c>
    </row>
    <row r="11" spans="1:7" x14ac:dyDescent="0.25">
      <c r="A11" t="s">
        <v>77</v>
      </c>
      <c r="B11" t="s">
        <v>0</v>
      </c>
      <c r="C11" t="s">
        <v>0</v>
      </c>
      <c r="D11" t="s">
        <v>0</v>
      </c>
      <c r="E11" t="s">
        <v>1550</v>
      </c>
      <c r="F11" t="s">
        <v>0</v>
      </c>
      <c r="G11" t="s">
        <v>754</v>
      </c>
    </row>
    <row r="12" spans="1:7" x14ac:dyDescent="0.25">
      <c r="A12" t="s">
        <v>80</v>
      </c>
      <c r="B12" t="s">
        <v>0</v>
      </c>
      <c r="C12" t="s">
        <v>0</v>
      </c>
      <c r="D12" t="s">
        <v>0</v>
      </c>
      <c r="E12" t="s">
        <v>1551</v>
      </c>
      <c r="F12" t="s">
        <v>0</v>
      </c>
      <c r="G12" t="s">
        <v>755</v>
      </c>
    </row>
    <row r="13" spans="1:7" x14ac:dyDescent="0.25">
      <c r="A13" t="s">
        <v>83</v>
      </c>
      <c r="B13" t="s">
        <v>0</v>
      </c>
      <c r="C13" t="s">
        <v>0</v>
      </c>
      <c r="D13" t="s">
        <v>0</v>
      </c>
      <c r="E13" t="s">
        <v>1552</v>
      </c>
      <c r="F13" t="s">
        <v>0</v>
      </c>
      <c r="G13" t="s">
        <v>756</v>
      </c>
    </row>
    <row r="14" spans="1:7" x14ac:dyDescent="0.25">
      <c r="A14" t="s">
        <v>86</v>
      </c>
      <c r="B14" t="s">
        <v>0</v>
      </c>
      <c r="C14" t="s">
        <v>0</v>
      </c>
      <c r="D14" t="s">
        <v>0</v>
      </c>
      <c r="E14" t="s">
        <v>1553</v>
      </c>
      <c r="F14" t="s">
        <v>0</v>
      </c>
      <c r="G14" t="s">
        <v>757</v>
      </c>
    </row>
    <row r="15" spans="1:7" x14ac:dyDescent="0.25">
      <c r="A15" t="s">
        <v>89</v>
      </c>
      <c r="B15" t="s">
        <v>0</v>
      </c>
      <c r="C15" t="s">
        <v>0</v>
      </c>
      <c r="D15" t="s">
        <v>0</v>
      </c>
      <c r="E15" t="s">
        <v>1554</v>
      </c>
      <c r="F15" t="s">
        <v>0</v>
      </c>
      <c r="G15" t="s">
        <v>758</v>
      </c>
    </row>
    <row r="16" spans="1:7" x14ac:dyDescent="0.25">
      <c r="A16" t="s">
        <v>92</v>
      </c>
      <c r="B16" t="s">
        <v>0</v>
      </c>
      <c r="C16" t="s">
        <v>3</v>
      </c>
      <c r="D16" t="s">
        <v>0</v>
      </c>
      <c r="E16" t="s">
        <v>1555</v>
      </c>
      <c r="F16" t="s">
        <v>3</v>
      </c>
      <c r="G16" t="s">
        <v>759</v>
      </c>
    </row>
    <row r="17" spans="1:7" x14ac:dyDescent="0.25">
      <c r="A17" t="s">
        <v>609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</row>
    <row r="18" spans="1:7" x14ac:dyDescent="0.25">
      <c r="A18" t="s">
        <v>96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 spans="1:7" x14ac:dyDescent="0.25">
      <c r="A19" t="s">
        <v>97</v>
      </c>
      <c r="B19" t="s">
        <v>0</v>
      </c>
      <c r="C19" t="s">
        <v>3</v>
      </c>
      <c r="D19" t="s">
        <v>0</v>
      </c>
      <c r="E19" t="s">
        <v>1556</v>
      </c>
      <c r="F19" t="s">
        <v>3</v>
      </c>
      <c r="G19" t="s">
        <v>760</v>
      </c>
    </row>
    <row r="20" spans="1:7" x14ac:dyDescent="0.25">
      <c r="A20" t="s">
        <v>100</v>
      </c>
      <c r="B20" t="s">
        <v>0</v>
      </c>
      <c r="C20" t="s">
        <v>0</v>
      </c>
      <c r="D20" t="s">
        <v>0</v>
      </c>
      <c r="E20" t="s">
        <v>1557</v>
      </c>
      <c r="F20" t="s">
        <v>0</v>
      </c>
      <c r="G20" t="s">
        <v>761</v>
      </c>
    </row>
    <row r="21" spans="1:7" x14ac:dyDescent="0.25">
      <c r="A21" t="s">
        <v>103</v>
      </c>
      <c r="B21" t="s">
        <v>0</v>
      </c>
      <c r="C21" t="s">
        <v>0</v>
      </c>
      <c r="D21" t="s">
        <v>0</v>
      </c>
      <c r="E21" t="s">
        <v>1558</v>
      </c>
      <c r="F21" t="s">
        <v>0</v>
      </c>
      <c r="G21" t="s">
        <v>762</v>
      </c>
    </row>
    <row r="22" spans="1:7" x14ac:dyDescent="0.25">
      <c r="A22" t="s">
        <v>105</v>
      </c>
      <c r="B22" t="s">
        <v>0</v>
      </c>
      <c r="C22" t="s">
        <v>0</v>
      </c>
      <c r="D22" t="s">
        <v>0</v>
      </c>
      <c r="E22" t="s">
        <v>1559</v>
      </c>
      <c r="F22" t="s">
        <v>0</v>
      </c>
      <c r="G22" t="s">
        <v>763</v>
      </c>
    </row>
    <row r="23" spans="1:7" x14ac:dyDescent="0.25">
      <c r="A23" t="s">
        <v>108</v>
      </c>
      <c r="B23" t="s">
        <v>0</v>
      </c>
      <c r="C23" t="s">
        <v>0</v>
      </c>
      <c r="D23" t="s">
        <v>0</v>
      </c>
      <c r="E23" t="s">
        <v>1560</v>
      </c>
      <c r="F23" t="s">
        <v>0</v>
      </c>
      <c r="G23" t="s">
        <v>764</v>
      </c>
    </row>
    <row r="24" spans="1:7" x14ac:dyDescent="0.25">
      <c r="A24" t="s">
        <v>111</v>
      </c>
      <c r="B24" t="s">
        <v>0</v>
      </c>
      <c r="C24" t="s">
        <v>0</v>
      </c>
      <c r="D24" t="s">
        <v>0</v>
      </c>
      <c r="E24" t="s">
        <v>1561</v>
      </c>
      <c r="F24" t="s">
        <v>0</v>
      </c>
      <c r="G24" t="s">
        <v>765</v>
      </c>
    </row>
    <row r="25" spans="1:7" x14ac:dyDescent="0.25">
      <c r="A25" t="s">
        <v>103</v>
      </c>
      <c r="B25" t="s">
        <v>0</v>
      </c>
      <c r="C25" t="s">
        <v>0</v>
      </c>
      <c r="D25" t="s">
        <v>0</v>
      </c>
      <c r="E25" t="s">
        <v>1562</v>
      </c>
      <c r="F25" t="s">
        <v>0</v>
      </c>
      <c r="G25" t="s">
        <v>766</v>
      </c>
    </row>
    <row r="26" spans="1:7" x14ac:dyDescent="0.25">
      <c r="A26" t="s">
        <v>116</v>
      </c>
      <c r="B26" t="s">
        <v>0</v>
      </c>
      <c r="C26" t="s">
        <v>0</v>
      </c>
      <c r="D26" t="s">
        <v>0</v>
      </c>
      <c r="E26" t="s">
        <v>1563</v>
      </c>
      <c r="F26" t="s">
        <v>0</v>
      </c>
      <c r="G26" t="s">
        <v>767</v>
      </c>
    </row>
    <row r="27" spans="1:7" x14ac:dyDescent="0.25">
      <c r="A27" t="s">
        <v>122</v>
      </c>
      <c r="B27" t="s">
        <v>0</v>
      </c>
      <c r="C27" t="s">
        <v>0</v>
      </c>
      <c r="D27" t="s">
        <v>0</v>
      </c>
      <c r="E27" t="s">
        <v>1564</v>
      </c>
      <c r="F27" t="s">
        <v>0</v>
      </c>
      <c r="G27" t="s">
        <v>768</v>
      </c>
    </row>
    <row r="28" spans="1:7" x14ac:dyDescent="0.25">
      <c r="A28" t="s">
        <v>125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</row>
    <row r="29" spans="1:7" x14ac:dyDescent="0.25">
      <c r="A29" t="s">
        <v>619</v>
      </c>
      <c r="B29" t="s">
        <v>0</v>
      </c>
      <c r="C29" t="s">
        <v>0</v>
      </c>
      <c r="D29" t="s">
        <v>0</v>
      </c>
      <c r="E29" t="s">
        <v>1070</v>
      </c>
      <c r="F29" t="s">
        <v>0</v>
      </c>
      <c r="G29" t="s">
        <v>769</v>
      </c>
    </row>
    <row r="30" spans="1:7" x14ac:dyDescent="0.25">
      <c r="A30" t="s">
        <v>126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  <row r="31" spans="1:7" x14ac:dyDescent="0.25">
      <c r="A31" t="s">
        <v>976</v>
      </c>
      <c r="B31" t="s">
        <v>0</v>
      </c>
      <c r="C31" t="s">
        <v>0</v>
      </c>
      <c r="D31" t="s">
        <v>0</v>
      </c>
      <c r="E31" t="s">
        <v>977</v>
      </c>
      <c r="F31" t="s">
        <v>0</v>
      </c>
      <c r="G31" t="s">
        <v>977</v>
      </c>
    </row>
    <row r="32" spans="1:7" x14ac:dyDescent="0.25">
      <c r="A32" t="s">
        <v>1565</v>
      </c>
      <c r="B32" t="s">
        <v>0</v>
      </c>
      <c r="C32" t="s">
        <v>0</v>
      </c>
      <c r="D32" t="s">
        <v>0</v>
      </c>
      <c r="E32" t="s">
        <v>771</v>
      </c>
      <c r="F32" t="s">
        <v>0</v>
      </c>
      <c r="G32" t="s">
        <v>771</v>
      </c>
    </row>
    <row r="33" spans="1:7" x14ac:dyDescent="0.25">
      <c r="A33" t="s">
        <v>130</v>
      </c>
      <c r="B33" t="s">
        <v>0</v>
      </c>
      <c r="C33" t="s">
        <v>0</v>
      </c>
      <c r="D33" t="s">
        <v>0</v>
      </c>
      <c r="E33" t="s">
        <v>1066</v>
      </c>
      <c r="F33" t="s">
        <v>0</v>
      </c>
      <c r="G33" t="s">
        <v>772</v>
      </c>
    </row>
    <row r="34" spans="1:7" x14ac:dyDescent="0.25">
      <c r="A34" t="s">
        <v>133</v>
      </c>
      <c r="B34" t="s">
        <v>0</v>
      </c>
      <c r="C34" t="s">
        <v>0</v>
      </c>
      <c r="D34" t="s">
        <v>0</v>
      </c>
      <c r="E34" t="s">
        <v>1067</v>
      </c>
      <c r="F34" t="s">
        <v>0</v>
      </c>
      <c r="G34" t="s">
        <v>773</v>
      </c>
    </row>
    <row r="35" spans="1:7" x14ac:dyDescent="0.25">
      <c r="A35" t="s">
        <v>136</v>
      </c>
      <c r="B35" t="s">
        <v>0</v>
      </c>
      <c r="C35" t="s">
        <v>0</v>
      </c>
      <c r="D35" t="s">
        <v>0</v>
      </c>
      <c r="E35" t="s">
        <v>1068</v>
      </c>
      <c r="F35" t="s">
        <v>0</v>
      </c>
      <c r="G35" t="s">
        <v>774</v>
      </c>
    </row>
    <row r="36" spans="1:7" x14ac:dyDescent="0.25">
      <c r="A36" t="s">
        <v>139</v>
      </c>
      <c r="B36" t="s">
        <v>0</v>
      </c>
      <c r="C36" t="s">
        <v>0</v>
      </c>
      <c r="D36" t="s">
        <v>0</v>
      </c>
      <c r="E36" t="s">
        <v>1069</v>
      </c>
      <c r="F36" t="s">
        <v>0</v>
      </c>
      <c r="G36" t="s">
        <v>775</v>
      </c>
    </row>
    <row r="37" spans="1:7" x14ac:dyDescent="0.25">
      <c r="A37" t="s">
        <v>626</v>
      </c>
      <c r="B37" t="s">
        <v>0</v>
      </c>
      <c r="C37" t="s">
        <v>3</v>
      </c>
      <c r="D37" t="s">
        <v>0</v>
      </c>
      <c r="E37" t="s">
        <v>1555</v>
      </c>
      <c r="F37" t="s">
        <v>3</v>
      </c>
      <c r="G37" t="s">
        <v>759</v>
      </c>
    </row>
  </sheetData>
  <pageMargins left="0.7" right="0.7" top="0.75" bottom="0.75" header="0.3" footer="0.3"/>
  <ignoredErrors>
    <ignoredError sqref="A1:G37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8"/>
  <dimension ref="A1:H25"/>
  <sheetViews>
    <sheetView workbookViewId="0"/>
  </sheetViews>
  <sheetFormatPr defaultRowHeight="15.75" x14ac:dyDescent="0.25"/>
  <cols>
    <col min="1" max="1" width="60.875" customWidth="1"/>
    <col min="2" max="4" width="10.875" customWidth="1"/>
    <col min="5" max="5" width="11.875" customWidth="1"/>
    <col min="6" max="7" width="10.875" customWidth="1"/>
    <col min="8" max="8" width="11.875" customWidth="1"/>
  </cols>
  <sheetData>
    <row r="1" spans="1:8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31</v>
      </c>
      <c r="B2" t="s">
        <v>0</v>
      </c>
      <c r="C2" t="s">
        <v>3</v>
      </c>
      <c r="D2" t="s">
        <v>0</v>
      </c>
      <c r="E2" t="s">
        <v>1566</v>
      </c>
      <c r="F2" t="s">
        <v>3</v>
      </c>
      <c r="G2" t="s">
        <v>0</v>
      </c>
      <c r="H2" t="s">
        <v>1567</v>
      </c>
    </row>
    <row r="3" spans="1:8" x14ac:dyDescent="0.25">
      <c r="A3" t="s">
        <v>43</v>
      </c>
      <c r="B3" t="s">
        <v>0</v>
      </c>
      <c r="C3" t="s">
        <v>0</v>
      </c>
      <c r="D3" t="s">
        <v>0</v>
      </c>
      <c r="E3" t="s">
        <v>1568</v>
      </c>
      <c r="F3" t="s">
        <v>0</v>
      </c>
      <c r="G3" t="s">
        <v>0</v>
      </c>
      <c r="H3" t="s">
        <v>1569</v>
      </c>
    </row>
    <row r="4" spans="1:8" x14ac:dyDescent="0.25">
      <c r="A4" t="s">
        <v>144</v>
      </c>
      <c r="B4" t="s">
        <v>0</v>
      </c>
      <c r="C4" t="s">
        <v>0</v>
      </c>
      <c r="D4" t="s">
        <v>0</v>
      </c>
      <c r="E4" t="s">
        <v>1570</v>
      </c>
      <c r="F4" t="s">
        <v>0</v>
      </c>
      <c r="G4" t="s">
        <v>0</v>
      </c>
      <c r="H4" t="s">
        <v>1571</v>
      </c>
    </row>
    <row r="5" spans="1:8" x14ac:dyDescent="0.25">
      <c r="A5" t="s">
        <v>148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777</v>
      </c>
      <c r="B6" t="s">
        <v>0</v>
      </c>
      <c r="C6" t="s">
        <v>0</v>
      </c>
      <c r="D6" t="s">
        <v>0</v>
      </c>
      <c r="E6" t="s">
        <v>1572</v>
      </c>
      <c r="F6" t="s">
        <v>0</v>
      </c>
      <c r="G6" t="s">
        <v>0</v>
      </c>
      <c r="H6" t="s">
        <v>1573</v>
      </c>
    </row>
    <row r="7" spans="1:8" x14ac:dyDescent="0.25">
      <c r="A7" t="s">
        <v>153</v>
      </c>
      <c r="B7" t="s">
        <v>0</v>
      </c>
      <c r="C7" t="s">
        <v>0</v>
      </c>
      <c r="D7" t="s">
        <v>0</v>
      </c>
      <c r="E7" t="s">
        <v>1574</v>
      </c>
      <c r="F7" t="s">
        <v>0</v>
      </c>
      <c r="G7" t="s">
        <v>0</v>
      </c>
      <c r="H7" t="s">
        <v>1575</v>
      </c>
    </row>
    <row r="8" spans="1:8" x14ac:dyDescent="0.25">
      <c r="A8" t="s">
        <v>157</v>
      </c>
      <c r="B8" t="s">
        <v>0</v>
      </c>
      <c r="C8" t="s">
        <v>0</v>
      </c>
      <c r="D8" t="s">
        <v>0</v>
      </c>
      <c r="E8" t="s">
        <v>1576</v>
      </c>
      <c r="F8" t="s">
        <v>0</v>
      </c>
      <c r="G8" t="s">
        <v>0</v>
      </c>
      <c r="H8" t="s">
        <v>1577</v>
      </c>
    </row>
    <row r="9" spans="1:8" x14ac:dyDescent="0.25">
      <c r="A9" t="s">
        <v>161</v>
      </c>
      <c r="B9" t="s">
        <v>0</v>
      </c>
      <c r="C9" t="s">
        <v>0</v>
      </c>
      <c r="D9" t="s">
        <v>0</v>
      </c>
      <c r="E9" t="s">
        <v>1578</v>
      </c>
      <c r="F9" t="s">
        <v>0</v>
      </c>
      <c r="G9" t="s">
        <v>0</v>
      </c>
      <c r="H9" t="s">
        <v>1579</v>
      </c>
    </row>
    <row r="10" spans="1:8" x14ac:dyDescent="0.25">
      <c r="A10" t="s">
        <v>165</v>
      </c>
      <c r="B10" t="s">
        <v>0</v>
      </c>
      <c r="C10" t="s">
        <v>0</v>
      </c>
      <c r="D10" t="s">
        <v>0</v>
      </c>
      <c r="E10" t="s">
        <v>1580</v>
      </c>
      <c r="F10" t="s">
        <v>0</v>
      </c>
      <c r="G10" t="s">
        <v>0</v>
      </c>
      <c r="H10" t="s">
        <v>1581</v>
      </c>
    </row>
    <row r="11" spans="1:8" x14ac:dyDescent="0.25">
      <c r="A11" t="s">
        <v>494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1016</v>
      </c>
      <c r="B12" t="s">
        <v>0</v>
      </c>
      <c r="C12" t="s">
        <v>0</v>
      </c>
      <c r="D12" t="s">
        <v>0</v>
      </c>
      <c r="E12" t="s">
        <v>1582</v>
      </c>
      <c r="F12" t="s">
        <v>0</v>
      </c>
      <c r="G12" t="s">
        <v>0</v>
      </c>
      <c r="H12" t="s">
        <v>1583</v>
      </c>
    </row>
    <row r="13" spans="1:8" x14ac:dyDescent="0.25">
      <c r="A13" t="s">
        <v>498</v>
      </c>
      <c r="B13" t="s">
        <v>0</v>
      </c>
      <c r="C13" t="s">
        <v>0</v>
      </c>
      <c r="D13" t="s">
        <v>0</v>
      </c>
      <c r="E13" t="s">
        <v>1584</v>
      </c>
      <c r="F13" t="s">
        <v>0</v>
      </c>
      <c r="G13" t="s">
        <v>0</v>
      </c>
      <c r="H13" t="s">
        <v>177</v>
      </c>
    </row>
    <row r="14" spans="1:8" x14ac:dyDescent="0.25">
      <c r="A14" t="s">
        <v>635</v>
      </c>
      <c r="B14" t="s">
        <v>0</v>
      </c>
      <c r="C14" t="s">
        <v>0</v>
      </c>
      <c r="D14" t="s">
        <v>0</v>
      </c>
      <c r="E14" t="s">
        <v>1585</v>
      </c>
      <c r="F14" t="s">
        <v>0</v>
      </c>
      <c r="G14" t="s">
        <v>0</v>
      </c>
      <c r="H14" t="s">
        <v>1586</v>
      </c>
    </row>
    <row r="15" spans="1:8" x14ac:dyDescent="0.25">
      <c r="A15" t="s">
        <v>182</v>
      </c>
      <c r="B15" t="s">
        <v>0</v>
      </c>
      <c r="C15" t="s">
        <v>0</v>
      </c>
      <c r="D15" t="s">
        <v>0</v>
      </c>
      <c r="E15" t="s">
        <v>1587</v>
      </c>
      <c r="F15" t="s">
        <v>0</v>
      </c>
      <c r="G15" t="s">
        <v>0</v>
      </c>
      <c r="H15" t="s">
        <v>1588</v>
      </c>
    </row>
    <row r="16" spans="1:8" x14ac:dyDescent="0.25">
      <c r="A16" t="s">
        <v>186</v>
      </c>
      <c r="B16" t="s">
        <v>0</v>
      </c>
      <c r="C16" t="s">
        <v>0</v>
      </c>
      <c r="D16" t="s">
        <v>0</v>
      </c>
      <c r="E16" t="s">
        <v>1589</v>
      </c>
      <c r="F16" t="s">
        <v>0</v>
      </c>
      <c r="G16" t="s">
        <v>0</v>
      </c>
      <c r="H16" t="s">
        <v>1590</v>
      </c>
    </row>
    <row r="17" spans="1:8" x14ac:dyDescent="0.25">
      <c r="A17" t="s">
        <v>187</v>
      </c>
      <c r="B17" t="s">
        <v>0</v>
      </c>
      <c r="C17" t="s">
        <v>0</v>
      </c>
      <c r="D17" t="s">
        <v>0</v>
      </c>
      <c r="E17" t="s">
        <v>1591</v>
      </c>
      <c r="F17" t="s">
        <v>0</v>
      </c>
      <c r="G17" t="s">
        <v>0</v>
      </c>
      <c r="H17" t="s">
        <v>1592</v>
      </c>
    </row>
    <row r="18" spans="1:8" x14ac:dyDescent="0.25">
      <c r="A18" t="s">
        <v>1593</v>
      </c>
      <c r="B18" t="s">
        <v>0</v>
      </c>
      <c r="C18" t="s">
        <v>0</v>
      </c>
      <c r="D18" t="s">
        <v>0</v>
      </c>
      <c r="E18" t="s">
        <v>1065</v>
      </c>
      <c r="F18" t="s">
        <v>0</v>
      </c>
      <c r="G18" t="s">
        <v>0</v>
      </c>
      <c r="H18" t="s">
        <v>1079</v>
      </c>
    </row>
    <row r="19" spans="1:8" x14ac:dyDescent="0.25">
      <c r="A19" t="s">
        <v>641</v>
      </c>
      <c r="B19" t="s">
        <v>0</v>
      </c>
      <c r="C19" t="s">
        <v>3</v>
      </c>
      <c r="D19" t="s">
        <v>0</v>
      </c>
      <c r="E19" t="s">
        <v>1064</v>
      </c>
      <c r="F19" t="s">
        <v>3</v>
      </c>
      <c r="G19" t="s">
        <v>0</v>
      </c>
      <c r="H19" t="s">
        <v>1078</v>
      </c>
    </row>
    <row r="20" spans="1:8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  <row r="21" spans="1:8" x14ac:dyDescent="0.25">
      <c r="A21" t="s">
        <v>191</v>
      </c>
      <c r="B21" t="s">
        <v>0</v>
      </c>
      <c r="C21" t="s">
        <v>3</v>
      </c>
      <c r="D21" t="s">
        <v>0</v>
      </c>
      <c r="E21" t="s">
        <v>377</v>
      </c>
      <c r="F21" t="s">
        <v>3</v>
      </c>
      <c r="G21" t="s">
        <v>0</v>
      </c>
      <c r="H21" t="s">
        <v>1594</v>
      </c>
    </row>
    <row r="22" spans="1:8" x14ac:dyDescent="0.25">
      <c r="A22" t="s">
        <v>195</v>
      </c>
      <c r="B22" t="s">
        <v>0</v>
      </c>
      <c r="C22" t="s">
        <v>0</v>
      </c>
      <c r="D22" t="s">
        <v>0</v>
      </c>
      <c r="E22" t="s">
        <v>1595</v>
      </c>
      <c r="F22" t="s">
        <v>0</v>
      </c>
      <c r="G22" t="s">
        <v>0</v>
      </c>
      <c r="H22" t="s">
        <v>1596</v>
      </c>
    </row>
    <row r="23" spans="1:8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8" x14ac:dyDescent="0.25">
      <c r="A24" t="s">
        <v>199</v>
      </c>
      <c r="B24" t="s">
        <v>0</v>
      </c>
      <c r="C24" t="s">
        <v>3</v>
      </c>
      <c r="D24" t="s">
        <v>0</v>
      </c>
      <c r="E24" t="s">
        <v>1597</v>
      </c>
      <c r="F24" t="s">
        <v>3</v>
      </c>
      <c r="G24" t="s">
        <v>0</v>
      </c>
      <c r="H24" t="s">
        <v>1598</v>
      </c>
    </row>
    <row r="25" spans="1:8" x14ac:dyDescent="0.25">
      <c r="A25" t="s">
        <v>203</v>
      </c>
      <c r="B25" t="s">
        <v>0</v>
      </c>
      <c r="C25" t="s">
        <v>0</v>
      </c>
      <c r="D25" t="s">
        <v>0</v>
      </c>
      <c r="E25" t="s">
        <v>1599</v>
      </c>
      <c r="F25" t="s">
        <v>0</v>
      </c>
      <c r="G25" t="s">
        <v>0</v>
      </c>
      <c r="H25" t="s">
        <v>1600</v>
      </c>
    </row>
  </sheetData>
  <pageMargins left="0.7" right="0.7" top="0.75" bottom="0.75" header="0.3" footer="0.3"/>
  <ignoredErrors>
    <ignoredError sqref="A1:H25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5"/>
  <dimension ref="A1:G3"/>
  <sheetViews>
    <sheetView workbookViewId="0"/>
  </sheetViews>
  <sheetFormatPr defaultRowHeight="15.75" x14ac:dyDescent="0.25"/>
  <cols>
    <col min="1" max="1" width="60.875" customWidth="1"/>
    <col min="2" max="7" width="10.875" customWidth="1"/>
  </cols>
  <sheetData>
    <row r="1" spans="1:7" x14ac:dyDescent="0.25">
      <c r="A1" t="s">
        <v>195</v>
      </c>
      <c r="B1" t="s">
        <v>0</v>
      </c>
      <c r="C1" t="s">
        <v>0</v>
      </c>
      <c r="D1" t="s">
        <v>0</v>
      </c>
      <c r="E1" t="s">
        <v>1595</v>
      </c>
      <c r="F1" t="s">
        <v>0</v>
      </c>
      <c r="G1" t="s">
        <v>1596</v>
      </c>
    </row>
    <row r="2" spans="1:7" x14ac:dyDescent="0.25">
      <c r="A2" t="s">
        <v>372</v>
      </c>
      <c r="B2" t="s">
        <v>0</v>
      </c>
      <c r="C2" t="s">
        <v>0</v>
      </c>
      <c r="D2" t="s">
        <v>0</v>
      </c>
      <c r="E2" t="s">
        <v>1601</v>
      </c>
      <c r="F2" t="s">
        <v>0</v>
      </c>
      <c r="G2" t="s">
        <v>1602</v>
      </c>
    </row>
    <row r="3" spans="1:7" x14ac:dyDescent="0.25">
      <c r="A3" t="s">
        <v>376</v>
      </c>
      <c r="B3" t="s">
        <v>0</v>
      </c>
      <c r="C3" t="s">
        <v>0</v>
      </c>
      <c r="D3" t="s">
        <v>0</v>
      </c>
      <c r="E3" t="s">
        <v>1599</v>
      </c>
      <c r="F3" t="s">
        <v>0</v>
      </c>
      <c r="G3" t="s">
        <v>1600</v>
      </c>
    </row>
  </sheetData>
  <pageMargins left="0.7" right="0.7" top="0.75" bottom="0.75" header="0.3" footer="0.3"/>
  <ignoredErrors>
    <ignoredError sqref="A1:G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1"/>
  <dimension ref="A1:F15"/>
  <sheetViews>
    <sheetView workbookViewId="0"/>
  </sheetViews>
  <sheetFormatPr defaultRowHeight="15.75" x14ac:dyDescent="0.25"/>
  <cols>
    <col min="1" max="1" width="42.875" customWidth="1"/>
    <col min="2" max="6" width="10.875" customWidth="1"/>
  </cols>
  <sheetData>
    <row r="1" spans="1:6" x14ac:dyDescent="0.25">
      <c r="A1" t="s">
        <v>143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t="s">
        <v>31</v>
      </c>
      <c r="B2" t="s">
        <v>0</v>
      </c>
      <c r="C2" t="s">
        <v>0</v>
      </c>
      <c r="D2" t="s">
        <v>1205</v>
      </c>
      <c r="E2" t="s">
        <v>0</v>
      </c>
      <c r="F2" t="s">
        <v>1205</v>
      </c>
    </row>
    <row r="3" spans="1:6" x14ac:dyDescent="0.25">
      <c r="A3" t="s">
        <v>43</v>
      </c>
      <c r="B3" t="s">
        <v>0</v>
      </c>
      <c r="C3" t="s">
        <v>0</v>
      </c>
      <c r="D3" t="s">
        <v>1207</v>
      </c>
      <c r="E3" t="s">
        <v>0</v>
      </c>
      <c r="F3" t="s">
        <v>1207</v>
      </c>
    </row>
    <row r="4" spans="1:6" x14ac:dyDescent="0.25">
      <c r="A4" t="s">
        <v>144</v>
      </c>
      <c r="B4" t="s">
        <v>0</v>
      </c>
      <c r="C4" t="s">
        <v>0</v>
      </c>
      <c r="D4" t="s">
        <v>1208</v>
      </c>
      <c r="E4" t="s">
        <v>0</v>
      </c>
      <c r="F4" t="s">
        <v>1208</v>
      </c>
    </row>
    <row r="5" spans="1:6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</row>
    <row r="6" spans="1:6" x14ac:dyDescent="0.25">
      <c r="A6" t="s">
        <v>148</v>
      </c>
      <c r="B6" t="s">
        <v>0</v>
      </c>
      <c r="C6" t="s">
        <v>0</v>
      </c>
      <c r="D6" t="s">
        <v>0</v>
      </c>
      <c r="E6" t="s">
        <v>0</v>
      </c>
      <c r="F6" t="s">
        <v>0</v>
      </c>
    </row>
    <row r="7" spans="1:6" x14ac:dyDescent="0.25">
      <c r="A7" t="s">
        <v>777</v>
      </c>
      <c r="B7" t="s">
        <v>0</v>
      </c>
      <c r="C7" t="s">
        <v>0</v>
      </c>
      <c r="D7" t="s">
        <v>1210</v>
      </c>
      <c r="E7" t="s">
        <v>0</v>
      </c>
      <c r="F7" t="s">
        <v>1479</v>
      </c>
    </row>
    <row r="8" spans="1:6" x14ac:dyDescent="0.25">
      <c r="A8" t="s">
        <v>153</v>
      </c>
      <c r="B8" t="s">
        <v>0</v>
      </c>
      <c r="C8" t="s">
        <v>0</v>
      </c>
      <c r="D8" t="s">
        <v>1480</v>
      </c>
      <c r="E8" t="s">
        <v>0</v>
      </c>
      <c r="F8" t="s">
        <v>1480</v>
      </c>
    </row>
    <row r="9" spans="1:6" x14ac:dyDescent="0.25">
      <c r="A9" t="s">
        <v>157</v>
      </c>
      <c r="B9" t="s">
        <v>0</v>
      </c>
      <c r="C9" t="s">
        <v>0</v>
      </c>
      <c r="D9" t="s">
        <v>1213</v>
      </c>
      <c r="E9" t="s">
        <v>0</v>
      </c>
      <c r="F9" t="s">
        <v>1213</v>
      </c>
    </row>
    <row r="10" spans="1:6" x14ac:dyDescent="0.25">
      <c r="A10" t="s">
        <v>161</v>
      </c>
      <c r="B10" t="s">
        <v>0</v>
      </c>
      <c r="C10" t="s">
        <v>0</v>
      </c>
      <c r="D10" t="s">
        <v>1215</v>
      </c>
      <c r="E10" t="s">
        <v>0</v>
      </c>
      <c r="F10" t="s">
        <v>1217</v>
      </c>
    </row>
    <row r="11" spans="1:6" x14ac:dyDescent="0.25">
      <c r="A11" t="s">
        <v>165</v>
      </c>
      <c r="B11" t="s">
        <v>0</v>
      </c>
      <c r="C11" t="s">
        <v>0</v>
      </c>
      <c r="D11" t="s">
        <v>1218</v>
      </c>
      <c r="E11" t="s">
        <v>0</v>
      </c>
      <c r="F11" t="s">
        <v>1220</v>
      </c>
    </row>
    <row r="12" spans="1:6" x14ac:dyDescent="0.25">
      <c r="A12" t="s">
        <v>1221</v>
      </c>
      <c r="B12" t="s">
        <v>0</v>
      </c>
      <c r="C12" t="s">
        <v>0</v>
      </c>
      <c r="D12" t="s">
        <v>1223</v>
      </c>
      <c r="E12" t="s">
        <v>0</v>
      </c>
      <c r="F12" t="s">
        <v>1222</v>
      </c>
    </row>
    <row r="13" spans="1:6" x14ac:dyDescent="0.25">
      <c r="A13" t="s">
        <v>182</v>
      </c>
      <c r="B13" t="s">
        <v>0</v>
      </c>
      <c r="C13" t="s">
        <v>0</v>
      </c>
      <c r="D13" t="s">
        <v>1211</v>
      </c>
      <c r="E13" t="s">
        <v>0</v>
      </c>
      <c r="F13" t="s">
        <v>1484</v>
      </c>
    </row>
    <row r="14" spans="1:6" x14ac:dyDescent="0.25">
      <c r="A14" t="s">
        <v>12</v>
      </c>
      <c r="B14" t="s">
        <v>0</v>
      </c>
      <c r="C14" t="s">
        <v>0</v>
      </c>
      <c r="D14" t="s">
        <v>1224</v>
      </c>
      <c r="E14" t="s">
        <v>0</v>
      </c>
      <c r="F14" t="s">
        <v>1214</v>
      </c>
    </row>
    <row r="15" spans="1:6" x14ac:dyDescent="0.25">
      <c r="A15" t="s">
        <v>187</v>
      </c>
      <c r="B15" t="s">
        <v>0</v>
      </c>
      <c r="C15" t="s">
        <v>0</v>
      </c>
      <c r="D15" t="s">
        <v>1482</v>
      </c>
      <c r="E15" t="s">
        <v>0</v>
      </c>
      <c r="F15" t="s">
        <v>1611</v>
      </c>
    </row>
  </sheetData>
  <pageMargins left="0.7" right="0.7" top="0.75" bottom="0.75" header="0.3" footer="0.3"/>
  <ignoredErrors>
    <ignoredError sqref="A1:F15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2"/>
  <dimension ref="A1:M4"/>
  <sheetViews>
    <sheetView workbookViewId="0"/>
  </sheetViews>
  <sheetFormatPr defaultRowHeight="15.75" x14ac:dyDescent="0.25"/>
  <cols>
    <col min="1" max="1" width="24.875" customWidth="1"/>
    <col min="2" max="13" width="10.875" customWidth="1"/>
  </cols>
  <sheetData>
    <row r="1" spans="1:13" x14ac:dyDescent="0.25">
      <c r="A1" t="s">
        <v>31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6</v>
      </c>
      <c r="B2" t="s">
        <v>0</v>
      </c>
      <c r="C2" t="s">
        <v>3</v>
      </c>
      <c r="D2" t="s">
        <v>0</v>
      </c>
      <c r="E2" t="s">
        <v>1612</v>
      </c>
      <c r="F2" t="s">
        <v>3</v>
      </c>
      <c r="G2" t="s">
        <v>0</v>
      </c>
      <c r="H2" t="s">
        <v>1613</v>
      </c>
      <c r="I2" t="s">
        <v>3</v>
      </c>
      <c r="J2" t="s">
        <v>0</v>
      </c>
      <c r="K2" t="s">
        <v>1614</v>
      </c>
      <c r="L2" t="s">
        <v>0</v>
      </c>
      <c r="M2" t="s">
        <v>1615</v>
      </c>
    </row>
    <row r="3" spans="1:13" x14ac:dyDescent="0.25">
      <c r="A3" t="s">
        <v>35</v>
      </c>
      <c r="B3" t="s">
        <v>0</v>
      </c>
      <c r="C3" t="s">
        <v>0</v>
      </c>
      <c r="D3" t="s">
        <v>0</v>
      </c>
      <c r="E3" t="s">
        <v>1616</v>
      </c>
      <c r="F3" t="s">
        <v>0</v>
      </c>
      <c r="G3" t="s">
        <v>0</v>
      </c>
      <c r="H3" t="s">
        <v>1617</v>
      </c>
      <c r="I3" t="s">
        <v>3</v>
      </c>
      <c r="J3" t="s">
        <v>0</v>
      </c>
      <c r="K3" t="s">
        <v>1618</v>
      </c>
      <c r="L3" t="s">
        <v>0</v>
      </c>
      <c r="M3" t="s">
        <v>1619</v>
      </c>
    </row>
    <row r="4" spans="1:13" x14ac:dyDescent="0.25">
      <c r="A4" t="s">
        <v>39</v>
      </c>
      <c r="B4" t="s">
        <v>0</v>
      </c>
      <c r="C4" t="s">
        <v>3</v>
      </c>
      <c r="D4" t="s">
        <v>0</v>
      </c>
      <c r="E4" t="s">
        <v>1566</v>
      </c>
      <c r="F4" t="s">
        <v>3</v>
      </c>
      <c r="G4" t="s">
        <v>0</v>
      </c>
      <c r="H4" t="s">
        <v>1567</v>
      </c>
      <c r="I4" t="s">
        <v>3</v>
      </c>
      <c r="J4" t="s">
        <v>0</v>
      </c>
      <c r="K4" t="s">
        <v>1620</v>
      </c>
      <c r="L4" t="s">
        <v>0</v>
      </c>
      <c r="M4" t="s">
        <v>1282</v>
      </c>
    </row>
  </sheetData>
  <pageMargins left="0.7" right="0.7" top="0.75" bottom="0.75" header="0.3" footer="0.3"/>
  <ignoredErrors>
    <ignoredError sqref="A1:M4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3"/>
  <dimension ref="A1:M4"/>
  <sheetViews>
    <sheetView workbookViewId="0"/>
  </sheetViews>
  <sheetFormatPr defaultRowHeight="15.75" x14ac:dyDescent="0.25"/>
  <cols>
    <col min="1" max="1" width="21.875" customWidth="1"/>
    <col min="2" max="13" width="10.875" customWidth="1"/>
  </cols>
  <sheetData>
    <row r="1" spans="1:13" x14ac:dyDescent="0.25">
      <c r="A1" t="s">
        <v>43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6</v>
      </c>
      <c r="B2" t="s">
        <v>0</v>
      </c>
      <c r="C2" t="s">
        <v>3</v>
      </c>
      <c r="D2" t="s">
        <v>0</v>
      </c>
      <c r="E2" t="s">
        <v>1603</v>
      </c>
      <c r="F2" t="s">
        <v>3</v>
      </c>
      <c r="G2" t="s">
        <v>0</v>
      </c>
      <c r="H2" t="s">
        <v>1605</v>
      </c>
      <c r="I2" t="s">
        <v>3</v>
      </c>
      <c r="J2" t="s">
        <v>0</v>
      </c>
      <c r="K2" t="s">
        <v>1621</v>
      </c>
      <c r="L2" t="s">
        <v>0</v>
      </c>
      <c r="M2" t="s">
        <v>1622</v>
      </c>
    </row>
    <row r="3" spans="1:13" x14ac:dyDescent="0.25">
      <c r="A3" t="s">
        <v>35</v>
      </c>
      <c r="B3" t="s">
        <v>0</v>
      </c>
      <c r="C3" t="s">
        <v>3</v>
      </c>
      <c r="D3" t="s">
        <v>0</v>
      </c>
      <c r="E3" t="s">
        <v>1604</v>
      </c>
      <c r="F3" t="s">
        <v>0</v>
      </c>
      <c r="G3" t="s">
        <v>0</v>
      </c>
      <c r="H3" t="s">
        <v>1606</v>
      </c>
      <c r="I3" t="s">
        <v>3</v>
      </c>
      <c r="J3" t="s">
        <v>0</v>
      </c>
      <c r="K3" t="s">
        <v>1623</v>
      </c>
      <c r="L3" t="s">
        <v>0</v>
      </c>
      <c r="M3" t="s">
        <v>1624</v>
      </c>
    </row>
    <row r="4" spans="1:13" x14ac:dyDescent="0.25">
      <c r="A4" t="s">
        <v>50</v>
      </c>
      <c r="B4" t="s">
        <v>0</v>
      </c>
      <c r="C4" t="s">
        <v>3</v>
      </c>
      <c r="D4" t="s">
        <v>0</v>
      </c>
      <c r="E4" t="s">
        <v>1568</v>
      </c>
      <c r="F4" t="s">
        <v>3</v>
      </c>
      <c r="G4" t="s">
        <v>0</v>
      </c>
      <c r="H4" t="s">
        <v>1569</v>
      </c>
      <c r="I4" t="s">
        <v>3</v>
      </c>
      <c r="J4" t="s">
        <v>0</v>
      </c>
      <c r="K4" t="s">
        <v>1625</v>
      </c>
      <c r="L4" t="s">
        <v>0</v>
      </c>
      <c r="M4" t="s">
        <v>1626</v>
      </c>
    </row>
  </sheetData>
  <pageMargins left="0.7" right="0.7" top="0.75" bottom="0.75" header="0.3" footer="0.3"/>
  <ignoredErrors>
    <ignoredError sqref="A1:M4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5"/>
  <dimension ref="A1:L4"/>
  <sheetViews>
    <sheetView workbookViewId="0"/>
  </sheetViews>
  <sheetFormatPr defaultRowHeight="15.75" x14ac:dyDescent="0.25"/>
  <cols>
    <col min="1" max="1" width="29.875" customWidth="1"/>
    <col min="2" max="12" width="10.875" customWidth="1"/>
  </cols>
  <sheetData>
    <row r="1" spans="1:12" x14ac:dyDescent="0.25">
      <c r="A1" t="s">
        <v>153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 spans="1:12" x14ac:dyDescent="0.25">
      <c r="A2" t="s">
        <v>6</v>
      </c>
      <c r="B2" t="s">
        <v>0</v>
      </c>
      <c r="C2" t="s">
        <v>3</v>
      </c>
      <c r="D2" t="s">
        <v>0</v>
      </c>
      <c r="E2" t="s">
        <v>1607</v>
      </c>
      <c r="F2" t="s">
        <v>3</v>
      </c>
      <c r="G2" t="s">
        <v>0</v>
      </c>
      <c r="H2" t="s">
        <v>1609</v>
      </c>
      <c r="I2" t="s">
        <v>3</v>
      </c>
      <c r="J2" t="s">
        <v>1627</v>
      </c>
      <c r="K2" t="s">
        <v>0</v>
      </c>
      <c r="L2" t="s">
        <v>1232</v>
      </c>
    </row>
    <row r="3" spans="1:12" x14ac:dyDescent="0.25">
      <c r="A3" t="s">
        <v>35</v>
      </c>
      <c r="B3" t="s">
        <v>0</v>
      </c>
      <c r="C3" t="s">
        <v>0</v>
      </c>
      <c r="D3" t="s">
        <v>0</v>
      </c>
      <c r="E3" t="s">
        <v>1608</v>
      </c>
      <c r="F3" t="s">
        <v>0</v>
      </c>
      <c r="G3" t="s">
        <v>0</v>
      </c>
      <c r="H3" t="s">
        <v>1610</v>
      </c>
      <c r="I3" t="s">
        <v>0</v>
      </c>
      <c r="J3" t="s">
        <v>1628</v>
      </c>
      <c r="K3" t="s">
        <v>0</v>
      </c>
      <c r="L3" t="s">
        <v>1629</v>
      </c>
    </row>
    <row r="4" spans="1:12" x14ac:dyDescent="0.25">
      <c r="A4" t="s">
        <v>1273</v>
      </c>
      <c r="B4" t="s">
        <v>0</v>
      </c>
      <c r="C4" t="s">
        <v>3</v>
      </c>
      <c r="D4" t="s">
        <v>0</v>
      </c>
      <c r="E4" t="s">
        <v>1574</v>
      </c>
      <c r="F4" t="s">
        <v>3</v>
      </c>
      <c r="G4" t="s">
        <v>0</v>
      </c>
      <c r="H4" t="s">
        <v>1575</v>
      </c>
      <c r="I4" t="s">
        <v>3</v>
      </c>
      <c r="J4" t="s">
        <v>1630</v>
      </c>
      <c r="K4" t="s">
        <v>0</v>
      </c>
      <c r="L4" t="s">
        <v>1631</v>
      </c>
    </row>
  </sheetData>
  <pageMargins left="0.7" right="0.7" top="0.75" bottom="0.75" header="0.3" footer="0.3"/>
  <ignoredErrors>
    <ignoredError sqref="A1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82</vt:i4>
      </vt:variant>
    </vt:vector>
  </HeadingPairs>
  <TitlesOfParts>
    <vt:vector size="82" baseType="lpstr">
      <vt:lpstr>Operating Model</vt:lpstr>
      <vt:lpstr>DCF</vt:lpstr>
      <vt:lpstr>WACC</vt:lpstr>
      <vt:lpstr>PPE</vt:lpstr>
      <vt:lpstr>Data &gt;&gt;</vt:lpstr>
      <vt:lpstr>Service Rev Br-2022</vt:lpstr>
      <vt:lpstr>2022 - Vehicle Sales</vt:lpstr>
      <vt:lpstr>2022 k - BS</vt:lpstr>
      <vt:lpstr>2022 k - IS</vt:lpstr>
      <vt:lpstr>2022 k - CF</vt:lpstr>
      <vt:lpstr>2022 k - PPE</vt:lpstr>
      <vt:lpstr>2022 k - Shares</vt:lpstr>
      <vt:lpstr>2022 k - T61</vt:lpstr>
      <vt:lpstr>2022 k - T62</vt:lpstr>
      <vt:lpstr>2022 k - T63</vt:lpstr>
      <vt:lpstr>2023 k - Service Rev</vt:lpstr>
      <vt:lpstr>2023 k - Vehicle Sales</vt:lpstr>
      <vt:lpstr>2023 k - BS</vt:lpstr>
      <vt:lpstr>2023 k - IS</vt:lpstr>
      <vt:lpstr>2023 k - CF</vt:lpstr>
      <vt:lpstr>2023 k - PPE</vt:lpstr>
      <vt:lpstr>2023 k - Shares</vt:lpstr>
      <vt:lpstr>2023 k - T59</vt:lpstr>
      <vt:lpstr>2023 k - T60</vt:lpstr>
      <vt:lpstr>2023 k - T61</vt:lpstr>
      <vt:lpstr>2024 k - Service Rev</vt:lpstr>
      <vt:lpstr>2024 k - Vehicle Sales</vt:lpstr>
      <vt:lpstr>2024 k - BS</vt:lpstr>
      <vt:lpstr>2024 k - IS</vt:lpstr>
      <vt:lpstr>2024 k - cf</vt:lpstr>
      <vt:lpstr>2024 k - PPE</vt:lpstr>
      <vt:lpstr>2024 k - Shares</vt:lpstr>
      <vt:lpstr>2024 k - T60</vt:lpstr>
      <vt:lpstr>2024 k - T61</vt:lpstr>
      <vt:lpstr>2024 k - T62</vt:lpstr>
      <vt:lpstr>2025 k - BS</vt:lpstr>
      <vt:lpstr>2025 k - IS</vt:lpstr>
      <vt:lpstr>2025 k - CF</vt:lpstr>
      <vt:lpstr>2025 k - service revenues</vt:lpstr>
      <vt:lpstr>2025 k - vehicle sales</vt:lpstr>
      <vt:lpstr>2025 k - PPE</vt:lpstr>
      <vt:lpstr>2025 k - lease amounts 0</vt:lpstr>
      <vt:lpstr>2025 k - lease amounts</vt:lpstr>
      <vt:lpstr>2025 k - lease weights</vt:lpstr>
      <vt:lpstr>2025 k - ROU</vt:lpstr>
      <vt:lpstr>2025 k - PV of lease liabilitie</vt:lpstr>
      <vt:lpstr>2025 k - future lease payments</vt:lpstr>
      <vt:lpstr>2025 k - Future Intangibles</vt:lpstr>
      <vt:lpstr>2025 k - Shares</vt:lpstr>
      <vt:lpstr>2025 k - Unvested Sahres</vt:lpstr>
      <vt:lpstr>2025 k - Options0</vt:lpstr>
      <vt:lpstr>2025 k - Options1</vt:lpstr>
      <vt:lpstr>2025 k - Options</vt:lpstr>
      <vt:lpstr>2025 k - T58</vt:lpstr>
      <vt:lpstr>2025 k - T59</vt:lpstr>
      <vt:lpstr>April Q - BS</vt:lpstr>
      <vt:lpstr>April Q - IS</vt:lpstr>
      <vt:lpstr>April Q - Shares</vt:lpstr>
      <vt:lpstr>April Q - T14</vt:lpstr>
      <vt:lpstr>April Q - T15</vt:lpstr>
      <vt:lpstr>April Q - T16</vt:lpstr>
      <vt:lpstr>April Q - T17</vt:lpstr>
      <vt:lpstr>April Q - % of rev</vt:lpstr>
      <vt:lpstr>April Q - service rev</vt:lpstr>
      <vt:lpstr>April Q - vehicle sales</vt:lpstr>
      <vt:lpstr>April Q - Cost of vehicle sal</vt:lpstr>
      <vt:lpstr>january Q - BS</vt:lpstr>
      <vt:lpstr>january Q - IS</vt:lpstr>
      <vt:lpstr>january Q - shares</vt:lpstr>
      <vt:lpstr>january Q - T16</vt:lpstr>
      <vt:lpstr>january Q - T17</vt:lpstr>
      <vt:lpstr>january Q - % of rev</vt:lpstr>
      <vt:lpstr>january Q - service revenues</vt:lpstr>
      <vt:lpstr>january Q - vehicle Sales</vt:lpstr>
      <vt:lpstr>january Q - COst of vehicle sal</vt:lpstr>
      <vt:lpstr>October Q - BS</vt:lpstr>
      <vt:lpstr>October Q - IS0</vt:lpstr>
      <vt:lpstr>October Q - shares</vt:lpstr>
      <vt:lpstr>October Q - % income stat</vt:lpstr>
      <vt:lpstr>October Q - service rev</vt:lpstr>
      <vt:lpstr>October Q - vehicle sales</vt:lpstr>
      <vt:lpstr>October Q - cost of vehicle 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2026-08-10T17:15:49Z</dcterms:created>
  <dcterms:modified xsi:type="dcterms:W3CDTF">2026-08-14T08:41:09Z</dcterms:modified>
</cp:coreProperties>
</file>